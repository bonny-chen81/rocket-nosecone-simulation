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end" sheetId="1" r:id="rId5"/>
    <sheet name="extras" sheetId="2" r:id="rId6"/>
    <sheet name="readme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<sst xmlns="http://schemas.openxmlformats.org/spreadsheetml/2006/main" uniqueCount="29">
  <si>
    <t>x_m</t>
  </si>
  <si>
    <t>r_eng_m</t>
  </si>
  <si>
    <t>r_bio_m</t>
  </si>
  <si>
    <t>L_m</t>
  </si>
  <si>
    <t>alpha_max</t>
  </si>
  <si>
    <t>r_blend_m</t>
  </si>
  <si>
    <t>t_smooth</t>
  </si>
  <si>
    <t>alpha_x</t>
  </si>
  <si>
    <t>Parameters</t>
  </si>
  <si>
    <t>Blend parameters (used by 'blend' sheet)</t>
  </si>
  <si>
    <t>Name</t>
  </si>
  <si>
    <t>Value</t>
  </si>
  <si>
    <t>blend_start_fracL</t>
  </si>
  <si>
    <t>D_m</t>
  </si>
  <si>
    <t>blend_span_fracL</t>
  </si>
  <si>
    <t>R_m</t>
  </si>
  <si>
    <t>blend_function</t>
  </si>
  <si>
    <t>smoothstep (3t^2-2t^3)</t>
  </si>
  <si>
    <t>bump_A_frac</t>
  </si>
  <si>
    <t>bump_c_fracL</t>
  </si>
  <si>
    <t>bump_w_fracL</t>
  </si>
  <si>
    <t>r_ogive_m</t>
  </si>
  <si>
    <t>r_fish_m</t>
  </si>
  <si>
    <t>Google Sheets friendly version. Steps:</t>
  </si>
  <si>
    <t>1) In 'extras', set L_m and D_m. R_m = D_m/2 is auto.</t>
  </si>
  <si>
    <t>2) Copy columns 'r_ogive' and 'r_fish' into 'blend'!B and !C (Paste values).</t>
  </si>
  <si>
    <t>3) In 'blend', L_m (D2) and alpha_max (E2) already default to 0.5 and 0.65. Adjust if needed.</t>
  </si>
  <si>
    <t>4) Column F gives r_blend(x). Export columns A &amp; F as CSV to import into Inventor.</t>
  </si>
  <si>
    <t>p.s.bump_A_frac=bump amplitude ratio, bump_c_fracL=center location (fraction of length),  bump_w_fracL=normalized bump width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</si>
</sst>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02"/>
  <sheetViews>
    <sheetView workbookViewId="0" showGridLines="0" defaultGridColor="1"/>
  </sheetViews>
  <sheetFormatPr defaultColWidth="14.5" defaultRowHeight="15" customHeight="1" outlineLevelRow="0" outlineLevelCol="0"/>
  <cols>
    <col min="1" max="3" width="14" style="1" customWidth="1"/>
    <col min="4" max="5" width="12" style="1" customWidth="1"/>
    <col min="6" max="6" width="14" style="1" customWidth="1"/>
    <col min="7" max="8" width="8.67188" style="1" customWidth="1"/>
    <col min="9" max="16384" width="14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3">
        <v>6</v>
      </c>
      <c r="H1" t="s" s="3">
        <v>7</v>
      </c>
    </row>
    <row r="2" ht="13.55" customHeight="1">
      <c r="A2" s="4" cm="1">
        <f t="array" ref="A2">$D$2*(0)/200</f>
        <v>0</v>
      </c>
      <c r="B2" s="4">
        <v>0</v>
      </c>
      <c r="C2" s="4">
        <v>0.00017574773449363</v>
      </c>
      <c r="D2" s="4" cm="1">
        <f t="array" ref="D2">'extras'!$B$3</f>
        <v>0.5</v>
      </c>
      <c r="E2" s="4" cm="1">
        <f t="array" ref="E2">'extras'!$B$6</f>
        <v>0.65</v>
      </c>
      <c r="F2" s="4" cm="1">
        <f t="array" ref="F2">(1-H2)*B2+H2*C2</f>
        <v>0</v>
      </c>
      <c r="G2" s="4" cm="1">
        <f t="array" ref="G2">IF($D$2=0,0,MAX(0,MIN(1,(A2-'extras'!$E$3*$D$2)/('extras'!$E$4*$D$2))))</f>
        <v>0</v>
      </c>
      <c r="H2" s="4" cm="1">
        <f t="array" ref="H2">$E$2*(G2^2*(3-2*G2))</f>
        <v>0</v>
      </c>
    </row>
    <row r="3" ht="13.55" customHeight="1">
      <c r="A3" s="4" cm="1">
        <f t="array" ref="A3">$D$2*(1)/200</f>
        <v>0.0025</v>
      </c>
      <c r="B3" s="4">
        <v>0.000401544084114302</v>
      </c>
      <c r="C3" s="4">
        <v>0.000189547223374218</v>
      </c>
      <c r="D3" s="4" cm="1">
        <f t="array" ref="D3">'extras'!$B$3</f>
        <v>0.5</v>
      </c>
      <c r="E3" s="4" cm="1">
        <f t="array" ref="E3">'extras'!$B$6</f>
        <v>0.65</v>
      </c>
      <c r="F3" s="4" cm="1">
        <f t="array" ref="F3">(1-H3)*B3+H3*C3</f>
        <v>0.000401544084114302</v>
      </c>
      <c r="G3" s="4" cm="1">
        <f t="array" ref="G3">IF($D$2=0,0,MAX(0,MIN(1,(A3-'extras'!$E$3*$D$2)/('extras'!$E$4*$D$2))))</f>
        <v>0</v>
      </c>
      <c r="H3" s="4" cm="1">
        <f t="array" ref="H3">$E$2*(G3^2*(3-2*G3))</f>
        <v>0</v>
      </c>
    </row>
    <row r="4" ht="13.55" customHeight="1">
      <c r="A4" s="4" cm="1">
        <f t="array" ref="A4">$D$2*(2)/200</f>
        <v>0.005</v>
      </c>
      <c r="B4" s="4">
        <v>0.000801023890616204</v>
      </c>
      <c r="C4" s="4">
        <v>0.000206556834184591</v>
      </c>
      <c r="D4" s="4" cm="1">
        <f t="array" ref="D4">'extras'!$B$3</f>
        <v>0.5</v>
      </c>
      <c r="E4" s="4" cm="1">
        <f t="array" ref="E4">'extras'!$B$6</f>
        <v>0.65</v>
      </c>
      <c r="F4" s="4" cm="1">
        <f t="array" ref="F4">(1-H4)*B4+H4*C4</f>
        <v>0.000801023890616204</v>
      </c>
      <c r="G4" s="4" cm="1">
        <f t="array" ref="G4">IF($D$2=0,0,MAX(0,MIN(1,(A4-'extras'!$E$3*$D$2)/('extras'!$E$4*$D$2))))</f>
        <v>0</v>
      </c>
      <c r="H4" s="4" cm="1">
        <f t="array" ref="H4">$E$2*(G4^2*(3-2*G4))</f>
        <v>0</v>
      </c>
    </row>
    <row r="5" ht="13.55" customHeight="1">
      <c r="A5" s="4" cm="1">
        <f t="array" ref="A5">$D$2*(3)/200</f>
        <v>0.0075</v>
      </c>
      <c r="B5" s="4">
        <v>0.00119844021594995</v>
      </c>
      <c r="C5" s="4">
        <v>0.000226807579402469</v>
      </c>
      <c r="D5" s="4" cm="1">
        <f t="array" ref="D5">'extras'!$B$3</f>
        <v>0.5</v>
      </c>
      <c r="E5" s="4" cm="1">
        <f t="array" ref="E5">'extras'!$B$6</f>
        <v>0.65</v>
      </c>
      <c r="F5" s="4" cm="1">
        <f t="array" ref="F5">(1-H5)*B5+H5*C5</f>
        <v>0.00119844021594995</v>
      </c>
      <c r="G5" s="4" cm="1">
        <f t="array" ref="G5">IF($D$2=0,0,MAX(0,MIN(1,(A5-'extras'!$E$3*$D$2)/('extras'!$E$4*$D$2))))</f>
        <v>0</v>
      </c>
      <c r="H5" s="4" cm="1">
        <f t="array" ref="H5">$E$2*(G5^2*(3-2*G5))</f>
        <v>0</v>
      </c>
    </row>
    <row r="6" ht="13.55" customHeight="1">
      <c r="A6" s="4" cm="1">
        <f t="array" ref="A6">$D$2*(4)/200</f>
        <v>0.01</v>
      </c>
      <c r="B6" s="4">
        <v>0.00159379385203851</v>
      </c>
      <c r="C6" s="4">
        <v>0.000250330660680927</v>
      </c>
      <c r="D6" s="4" cm="1">
        <f t="array" ref="D6">'extras'!$B$3</f>
        <v>0.5</v>
      </c>
      <c r="E6" s="4" cm="1">
        <f t="array" ref="E6">'extras'!$B$6</f>
        <v>0.65</v>
      </c>
      <c r="F6" s="4" cm="1">
        <f t="array" ref="F6">(1-H6)*B6+H6*C6</f>
        <v>0.00159379385203851</v>
      </c>
      <c r="G6" s="4" cm="1">
        <f t="array" ref="G6">IF($D$2=0,0,MAX(0,MIN(1,(A6-'extras'!$E$3*$D$2)/('extras'!$E$4*$D$2))))</f>
        <v>0</v>
      </c>
      <c r="H6" s="4" cm="1">
        <f t="array" ref="H6">$E$2*(G6^2*(3-2*G6))</f>
        <v>0</v>
      </c>
    </row>
    <row r="7" ht="13.55" customHeight="1">
      <c r="A7" s="4" cm="1">
        <f t="array" ref="A7">$D$2*(5)/200</f>
        <v>0.0125</v>
      </c>
      <c r="B7" s="4">
        <v>0.00198708558629201</v>
      </c>
      <c r="C7" s="4">
        <v>0.000277157391925826</v>
      </c>
      <c r="D7" s="4" cm="1">
        <f t="array" ref="D7">'extras'!$B$3</f>
        <v>0.5</v>
      </c>
      <c r="E7" s="4" cm="1">
        <f t="array" ref="E7">'extras'!$B$6</f>
        <v>0.65</v>
      </c>
      <c r="F7" s="4" cm="1">
        <f t="array" ref="F7">(1-H7)*B7+H7*C7</f>
        <v>0.00198708558629201</v>
      </c>
      <c r="G7" s="4" cm="1">
        <f t="array" ref="G7">IF($D$2=0,0,MAX(0,MIN(1,(A7-'extras'!$E$3*$D$2)/('extras'!$E$4*$D$2))))</f>
        <v>0</v>
      </c>
      <c r="H7" s="4" cm="1">
        <f t="array" ref="H7">$E$2*(G7^2*(3-2*G7))</f>
        <v>0</v>
      </c>
    </row>
    <row r="8" ht="13.55" customHeight="1">
      <c r="A8" s="4" cm="1">
        <f t="array" ref="A8">$D$2*(6)/200</f>
        <v>0.015</v>
      </c>
      <c r="B8" s="4">
        <v>0.00237831620161755</v>
      </c>
      <c r="C8" s="4">
        <v>0.000307319115987321</v>
      </c>
      <c r="D8" s="4" cm="1">
        <f t="array" ref="D8">'extras'!$B$3</f>
        <v>0.5</v>
      </c>
      <c r="E8" s="4" cm="1">
        <f t="array" ref="E8">'extras'!$B$6</f>
        <v>0.65</v>
      </c>
      <c r="F8" s="4" cm="1">
        <f t="array" ref="F8">(1-H8)*B8+H8*C8</f>
        <v>0.00237831620161755</v>
      </c>
      <c r="G8" s="4" cm="1">
        <f t="array" ref="G8">IF($D$2=0,0,MAX(0,MIN(1,(A8-'extras'!$E$3*$D$2)/('extras'!$E$4*$D$2))))</f>
        <v>0</v>
      </c>
      <c r="H8" s="4" cm="1">
        <f t="array" ref="H8">$E$2*(G8^2*(3-2*G8))</f>
        <v>0</v>
      </c>
    </row>
    <row r="9" ht="13.55" customHeight="1">
      <c r="A9" s="4" cm="1">
        <f t="array" ref="A9">$D$2*(7)/200</f>
        <v>0.0175</v>
      </c>
      <c r="B9" s="4">
        <v>0.00276748647642577</v>
      </c>
      <c r="C9" s="4">
        <v>0.000340847114922988</v>
      </c>
      <c r="D9" s="4" cm="1">
        <f t="array" ref="D9">'extras'!$B$3</f>
        <v>0.5</v>
      </c>
      <c r="E9" s="4" cm="1">
        <f t="array" ref="E9">'extras'!$B$6</f>
        <v>0.65</v>
      </c>
      <c r="F9" s="4" cm="1">
        <f t="array" ref="F9">(1-H9)*B9+H9*C9</f>
        <v>0.00276748647642577</v>
      </c>
      <c r="G9" s="4" cm="1">
        <f t="array" ref="G9">IF($D$2=0,0,MAX(0,MIN(1,(A9-'extras'!$E$3*$D$2)/('extras'!$E$4*$D$2))))</f>
        <v>0</v>
      </c>
      <c r="H9" s="4" cm="1">
        <f t="array" ref="H9">$E$2*(G9^2*(3-2*G9))</f>
        <v>0</v>
      </c>
    </row>
    <row r="10" ht="13.55" customHeight="1">
      <c r="A10" s="4" cm="1">
        <f t="array" ref="A10">$D$2*(8)/200</f>
        <v>0.02</v>
      </c>
      <c r="B10" s="4">
        <v>0.00315459718463851</v>
      </c>
      <c r="C10" s="4">
        <v>0.000377772513822836</v>
      </c>
      <c r="D10" s="4" cm="1">
        <f t="array" ref="D10">'extras'!$B$3</f>
        <v>0.5</v>
      </c>
      <c r="E10" s="4" cm="1">
        <f t="array" ref="E10">'extras'!$B$6</f>
        <v>0.65</v>
      </c>
      <c r="F10" s="4" cm="1">
        <f t="array" ref="F10">(1-H10)*B10+H10*C10</f>
        <v>0.00315459718463851</v>
      </c>
      <c r="G10" s="4" cm="1">
        <f t="array" ref="G10">IF($D$2=0,0,MAX(0,MIN(1,(A10-'extras'!$E$3*$D$2)/('extras'!$E$4*$D$2))))</f>
        <v>0</v>
      </c>
      <c r="H10" s="4" cm="1">
        <f t="array" ref="H10">$E$2*(G10^2*(3-2*G10))</f>
        <v>0</v>
      </c>
    </row>
    <row r="11" ht="13.55" customHeight="1">
      <c r="A11" s="4" cm="1">
        <f t="array" ref="A11">$D$2*(9)/200</f>
        <v>0.0225</v>
      </c>
      <c r="B11" s="4">
        <v>0.00353964909569715</v>
      </c>
      <c r="C11" s="4">
        <v>0.000418126178222109</v>
      </c>
      <c r="D11" s="4" cm="1">
        <f t="array" ref="D11">'extras'!$B$3</f>
        <v>0.5</v>
      </c>
      <c r="E11" s="4" cm="1">
        <f t="array" ref="E11">'extras'!$B$6</f>
        <v>0.65</v>
      </c>
      <c r="F11" s="4" cm="1">
        <f t="array" ref="F11">(1-H11)*B11+H11*C11</f>
        <v>0.00353964909569715</v>
      </c>
      <c r="G11" s="4" cm="1">
        <f t="array" ref="G11">IF($D$2=0,0,MAX(0,MIN(1,(A11-'extras'!$E$3*$D$2)/('extras'!$E$4*$D$2))))</f>
        <v>0</v>
      </c>
      <c r="H11" s="4" cm="1">
        <f t="array" ref="H11">$E$2*(G11^2*(3-2*G11))</f>
        <v>0</v>
      </c>
    </row>
    <row r="12" ht="13.55" customHeight="1">
      <c r="A12" s="4" cm="1">
        <f t="array" ref="A12">$D$2*(10)/200</f>
        <v>0.025</v>
      </c>
      <c r="B12" s="4">
        <v>0.00392264297457245</v>
      </c>
      <c r="C12" s="4">
        <v>0.000461938605165001</v>
      </c>
      <c r="D12" s="4" cm="1">
        <f t="array" ref="D12">'extras'!$B$3</f>
        <v>0.5</v>
      </c>
      <c r="E12" s="4" cm="1">
        <f t="array" ref="E12">'extras'!$B$6</f>
        <v>0.65</v>
      </c>
      <c r="F12" s="4" cm="1">
        <f t="array" ref="F12">(1-H12)*B12+H12*C12</f>
        <v>0.00392264297457245</v>
      </c>
      <c r="G12" s="4" cm="1">
        <f t="array" ref="G12">IF($D$2=0,0,MAX(0,MIN(1,(A12-'extras'!$E$3*$D$2)/('extras'!$E$4*$D$2))))</f>
        <v>0</v>
      </c>
      <c r="H12" s="4" cm="1">
        <f t="array" ref="H12">$E$2*(G12^2*(3-2*G12))</f>
        <v>0</v>
      </c>
    </row>
    <row r="13" ht="13.55" customHeight="1">
      <c r="A13" s="4" cm="1">
        <f t="array" ref="A13">$D$2*(11)/200</f>
        <v>0.0275</v>
      </c>
      <c r="B13" s="4">
        <v>0.00430357958176897</v>
      </c>
      <c r="C13" s="4">
        <v>0.00050923980802225</v>
      </c>
      <c r="D13" s="4" cm="1">
        <f t="array" ref="D13">'extras'!$B$3</f>
        <v>0.5</v>
      </c>
      <c r="E13" s="4" cm="1">
        <f t="array" ref="E13">'extras'!$B$6</f>
        <v>0.65</v>
      </c>
      <c r="F13" s="4" cm="1">
        <f t="array" ref="F13">(1-H13)*B13+H13*C13</f>
        <v>0.00430357958176897</v>
      </c>
      <c r="G13" s="4" cm="1">
        <f t="array" ref="G13">IF($D$2=0,0,MAX(0,MIN(1,(A13-'extras'!$E$3*$D$2)/('extras'!$E$4*$D$2))))</f>
        <v>0</v>
      </c>
      <c r="H13" s="4" cm="1">
        <f t="array" ref="H13">$E$2*(G13^2*(3-2*G13))</f>
        <v>0</v>
      </c>
    </row>
    <row r="14" ht="13.55" customHeight="1">
      <c r="A14" s="4" cm="1">
        <f t="array" ref="A14">$D$2*(12)/200</f>
        <v>0.03</v>
      </c>
      <c r="B14" s="4">
        <v>0.00468245967333481</v>
      </c>
      <c r="C14" s="4">
        <v>0.000560059195206954</v>
      </c>
      <c r="D14" s="4" cm="1">
        <f t="array" ref="D14">'extras'!$B$3</f>
        <v>0.5</v>
      </c>
      <c r="E14" s="4" cm="1">
        <f t="array" ref="E14">'extras'!$B$6</f>
        <v>0.65</v>
      </c>
      <c r="F14" s="4" cm="1">
        <f t="array" ref="F14">(1-H14)*B14+H14*C14</f>
        <v>0.00468245967333481</v>
      </c>
      <c r="G14" s="4" cm="1">
        <f t="array" ref="G14">IF($D$2=0,0,MAX(0,MIN(1,(A14-'extras'!$E$3*$D$2)/('extras'!$E$4*$D$2))))</f>
        <v>0</v>
      </c>
      <c r="H14" s="4" cm="1">
        <f t="array" ref="H14">$E$2*(G14^2*(3-2*G14))</f>
        <v>0</v>
      </c>
    </row>
    <row r="15" ht="13.55" customHeight="1">
      <c r="A15" s="4" cm="1">
        <f t="array" ref="A15">$D$2*(13)/200</f>
        <v>0.0325</v>
      </c>
      <c r="B15" s="4">
        <v>0.00505928400086919</v>
      </c>
      <c r="C15" s="4">
        <v>0.000614425442976458</v>
      </c>
      <c r="D15" s="4" cm="1">
        <f t="array" ref="D15">'extras'!$B$3</f>
        <v>0.5</v>
      </c>
      <c r="E15" s="4" cm="1">
        <f t="array" ref="E15">'extras'!$B$6</f>
        <v>0.65</v>
      </c>
      <c r="F15" s="4" cm="1">
        <f t="array" ref="F15">(1-H15)*B15+H15*C15</f>
        <v>0.00505928400086919</v>
      </c>
      <c r="G15" s="4" cm="1">
        <f t="array" ref="G15">IF($D$2=0,0,MAX(0,MIN(1,(A15-'extras'!$E$3*$D$2)/('extras'!$E$4*$D$2))))</f>
        <v>0</v>
      </c>
      <c r="H15" s="4" cm="1">
        <f t="array" ref="H15">$E$2*(G15^2*(3-2*G15))</f>
        <v>0</v>
      </c>
    </row>
    <row r="16" ht="13.55" customHeight="1">
      <c r="A16" s="4" cm="1">
        <f t="array" ref="A16">$D$2*(14)/200</f>
        <v>0.035</v>
      </c>
      <c r="B16" s="4">
        <v>0.00543405331153135</v>
      </c>
      <c r="C16" s="4">
        <v>0.00067236636255294</v>
      </c>
      <c r="D16" s="4" cm="1">
        <f t="array" ref="D16">'extras'!$B$3</f>
        <v>0.5</v>
      </c>
      <c r="E16" s="4" cm="1">
        <f t="array" ref="E16">'extras'!$B$6</f>
        <v>0.65</v>
      </c>
      <c r="F16" s="4" cm="1">
        <f t="array" ref="F16">(1-H16)*B16+H16*C16</f>
        <v>0.00543405331153135</v>
      </c>
      <c r="G16" s="4" cm="1">
        <f t="array" ref="G16">IF($D$2=0,0,MAX(0,MIN(1,(A16-'extras'!$E$3*$D$2)/('extras'!$E$4*$D$2))))</f>
        <v>0</v>
      </c>
      <c r="H16" s="4" cm="1">
        <f t="array" ref="H16">$E$2*(G16^2*(3-2*G16))</f>
        <v>0</v>
      </c>
    </row>
    <row r="17" ht="13.55" customHeight="1">
      <c r="A17" s="4" cm="1">
        <f t="array" ref="A17">$D$2*(15)/200</f>
        <v>0.0375</v>
      </c>
      <c r="B17" s="4">
        <v>0.00580676834804406</v>
      </c>
      <c r="C17" s="4">
        <v>0.000733908761841696</v>
      </c>
      <c r="D17" s="4" cm="1">
        <f t="array" ref="D17">'extras'!$B$3</f>
        <v>0.5</v>
      </c>
      <c r="E17" s="4" cm="1">
        <f t="array" ref="E17">'extras'!$B$6</f>
        <v>0.65</v>
      </c>
      <c r="F17" s="4" cm="1">
        <f t="array" ref="F17">(1-H17)*B17+H17*C17</f>
        <v>0.00580676834804406</v>
      </c>
      <c r="G17" s="4" cm="1">
        <f t="array" ref="G17">IF($D$2=0,0,MAX(0,MIN(1,(A17-'extras'!$E$3*$D$2)/('extras'!$E$4*$D$2))))</f>
        <v>0</v>
      </c>
      <c r="H17" s="4" cm="1">
        <f t="array" ref="H17">$E$2*(G17^2*(3-2*G17))</f>
        <v>0</v>
      </c>
    </row>
    <row r="18" ht="13.55" customHeight="1">
      <c r="A18" s="4" cm="1">
        <f t="array" ref="A18">$D$2*(16)/200</f>
        <v>0.04</v>
      </c>
      <c r="B18" s="4">
        <v>0.00617742984870606</v>
      </c>
      <c r="C18" s="4">
        <v>0.000799078302073461</v>
      </c>
      <c r="D18" s="4" cm="1">
        <f t="array" ref="D18">'extras'!$B$3</f>
        <v>0.5</v>
      </c>
      <c r="E18" s="4" cm="1">
        <f t="array" ref="E18">'extras'!$B$6</f>
        <v>0.65</v>
      </c>
      <c r="F18" s="4" cm="1">
        <f t="array" ref="F18">(1-H18)*B18+H18*C18</f>
        <v>0.00617742984870606</v>
      </c>
      <c r="G18" s="4" cm="1">
        <f t="array" ref="G18">IF($D$2=0,0,MAX(0,MIN(1,(A18-'extras'!$E$3*$D$2)/('extras'!$E$4*$D$2))))</f>
        <v>0</v>
      </c>
      <c r="H18" s="4" cm="1">
        <f t="array" ref="H18">$E$2*(G18^2*(3-2*G18))</f>
        <v>0</v>
      </c>
    </row>
    <row r="19" ht="13.55" customHeight="1">
      <c r="A19" s="4" cm="1">
        <f t="array" ref="A19">$D$2*(17)/200</f>
        <v>0.0425</v>
      </c>
      <c r="B19" s="4">
        <v>0.00654603854739744</v>
      </c>
      <c r="C19" s="4">
        <v>0.000867899349745406</v>
      </c>
      <c r="D19" s="4" cm="1">
        <f t="array" ref="D19">'extras'!$B$3</f>
        <v>0.5</v>
      </c>
      <c r="E19" s="4" cm="1">
        <f t="array" ref="E19">'extras'!$B$6</f>
        <v>0.65</v>
      </c>
      <c r="F19" s="4" cm="1">
        <f t="array" ref="F19">(1-H19)*B19+H19*C19</f>
        <v>0.00654603854739744</v>
      </c>
      <c r="G19" s="4" cm="1">
        <f t="array" ref="G19">IF($D$2=0,0,MAX(0,MIN(1,(A19-'extras'!$E$3*$D$2)/('extras'!$E$4*$D$2))))</f>
        <v>0</v>
      </c>
      <c r="H19" s="4" cm="1">
        <f t="array" ref="H19">$E$2*(G19^2*(3-2*G19))</f>
        <v>0</v>
      </c>
    </row>
    <row r="20" ht="13.55" customHeight="1">
      <c r="A20" s="4" cm="1">
        <f t="array" ref="A20">$D$2*(18)/200</f>
        <v>0.045</v>
      </c>
      <c r="B20" s="4">
        <v>0.00691259517358578</v>
      </c>
      <c r="C20" s="4">
        <v>0.000940394824284149</v>
      </c>
      <c r="D20" s="4" cm="1">
        <f t="array" ref="D20">'extras'!$B$3</f>
        <v>0.5</v>
      </c>
      <c r="E20" s="4" cm="1">
        <f t="array" ref="E20">'extras'!$B$6</f>
        <v>0.65</v>
      </c>
      <c r="F20" s="4" cm="1">
        <f t="array" ref="F20">(1-H20)*B20+H20*C20</f>
        <v>0.00691259517358578</v>
      </c>
      <c r="G20" s="4" cm="1">
        <f t="array" ref="G20">IF($D$2=0,0,MAX(0,MIN(1,(A20-'extras'!$E$3*$D$2)/('extras'!$E$4*$D$2))))</f>
        <v>0</v>
      </c>
      <c r="H20" s="4" cm="1">
        <f t="array" ref="H20">$E$2*(G20^2*(3-2*G20))</f>
        <v>0</v>
      </c>
    </row>
    <row r="21" ht="15.75" customHeight="1">
      <c r="A21" s="4" cm="1">
        <f t="array" ref="A21">$D$2*(19)/200</f>
        <v>0.0475</v>
      </c>
      <c r="B21" s="4">
        <v>0.00727710045233598</v>
      </c>
      <c r="C21" s="4">
        <v>0.00101658604190325</v>
      </c>
      <c r="D21" s="4" cm="1">
        <f t="array" ref="D21">'extras'!$B$3</f>
        <v>0.5</v>
      </c>
      <c r="E21" s="4" cm="1">
        <f t="array" ref="E21">'extras'!$B$6</f>
        <v>0.65</v>
      </c>
      <c r="F21" s="4" cm="1">
        <f t="array" ref="F21">(1-H21)*B21+H21*C21</f>
        <v>0.00727710045233598</v>
      </c>
      <c r="G21" s="4" cm="1">
        <f t="array" ref="G21">IF($D$2=0,0,MAX(0,MIN(1,(A21-'extras'!$E$3*$D$2)/('extras'!$E$4*$D$2))))</f>
        <v>0</v>
      </c>
      <c r="H21" s="4" cm="1">
        <f t="array" ref="H21">$E$2*(G21^2*(3-2*G21))</f>
        <v>0</v>
      </c>
    </row>
    <row r="22" ht="15.75" customHeight="1">
      <c r="A22" s="4" cm="1">
        <f t="array" ref="A22">$D$2*(20)/200</f>
        <v>0.05</v>
      </c>
      <c r="B22" s="4">
        <v>0.00763955510431691</v>
      </c>
      <c r="C22" s="4">
        <v>0.00109649255617653</v>
      </c>
      <c r="D22" s="4" cm="1">
        <f t="array" ref="D22">'extras'!$B$3</f>
        <v>0.5</v>
      </c>
      <c r="E22" s="4" cm="1">
        <f t="array" ref="E22">'extras'!$B$6</f>
        <v>0.65</v>
      </c>
      <c r="F22" s="4" cm="1">
        <f t="array" ref="F22">(1-H22)*B22+H22*C22</f>
        <v>0.00763955510431691</v>
      </c>
      <c r="G22" s="4" cm="1">
        <f t="array" ref="G22">IF($D$2=0,0,MAX(0,MIN(1,(A22-'extras'!$E$3*$D$2)/('extras'!$E$4*$D$2))))</f>
        <v>0</v>
      </c>
      <c r="H22" s="4" cm="1">
        <f t="array" ref="H22">$E$2*(G22^2*(3-2*G22))</f>
        <v>0</v>
      </c>
    </row>
    <row r="23" ht="15.75" customHeight="1">
      <c r="A23" s="4" cm="1">
        <f t="array" ref="A23">$D$2*(21)/200</f>
        <v>0.0525</v>
      </c>
      <c r="B23" s="4">
        <v>0.00799995984580759</v>
      </c>
      <c r="C23" s="4">
        <v>0.00118013199589704</v>
      </c>
      <c r="D23" s="4" cm="1">
        <f t="array" ref="D23">'extras'!$B$3</f>
        <v>0.5</v>
      </c>
      <c r="E23" s="4" cm="1">
        <f t="array" ref="E23">'extras'!$B$6</f>
        <v>0.65</v>
      </c>
      <c r="F23" s="4" cm="1">
        <f t="array" ref="F23">(1-H23)*B23+H23*C23</f>
        <v>0.00799995984580759</v>
      </c>
      <c r="G23" s="4" cm="1">
        <f t="array" ref="G23">IF($D$2=0,0,MAX(0,MIN(1,(A23-'extras'!$E$3*$D$2)/('extras'!$E$4*$D$2))))</f>
        <v>0</v>
      </c>
      <c r="H23" s="4" cm="1">
        <f t="array" ref="H23">$E$2*(G23^2*(3-2*G23))</f>
        <v>0</v>
      </c>
    </row>
    <row r="24" ht="15.75" customHeight="1">
      <c r="A24" s="4" cm="1">
        <f t="array" ref="A24">$D$2*(22)/200</f>
        <v>0.055</v>
      </c>
      <c r="B24" s="4">
        <v>0.00835831538870613</v>
      </c>
      <c r="C24" s="4">
        <v>0.00126751990083918</v>
      </c>
      <c r="D24" s="4" cm="1">
        <f t="array" ref="D24">'extras'!$B$3</f>
        <v>0.5</v>
      </c>
      <c r="E24" s="4" cm="1">
        <f t="array" ref="E24">'extras'!$B$6</f>
        <v>0.65</v>
      </c>
      <c r="F24" s="4" cm="1">
        <f t="array" ref="F24">(1-H24)*B24+H24*C24</f>
        <v>0.00835831538870613</v>
      </c>
      <c r="G24" s="4" cm="1">
        <f t="array" ref="G24">IF($D$2=0,0,MAX(0,MIN(1,(A24-'extras'!$E$3*$D$2)/('extras'!$E$4*$D$2))))</f>
        <v>0</v>
      </c>
      <c r="H24" s="4" cm="1">
        <f t="array" ref="H24">$E$2*(G24^2*(3-2*G24))</f>
        <v>0</v>
      </c>
    </row>
    <row r="25" ht="15.75" customHeight="1">
      <c r="A25" s="4" cm="1">
        <f t="array" ref="A25">$D$2*(23)/200</f>
        <v>0.0575</v>
      </c>
      <c r="B25" s="4">
        <v>0.00871462244053456</v>
      </c>
      <c r="C25" s="4">
        <v>0.00135866955608781</v>
      </c>
      <c r="D25" s="4" cm="1">
        <f t="array" ref="D25">'extras'!$B$3</f>
        <v>0.5</v>
      </c>
      <c r="E25" s="4" cm="1">
        <f t="array" ref="E25">'extras'!$B$6</f>
        <v>0.65</v>
      </c>
      <c r="F25" s="4" cm="1">
        <f t="array" ref="F25">(1-H25)*B25+H25*C25</f>
        <v>0.00871462244053456</v>
      </c>
      <c r="G25" s="4" cm="1">
        <f t="array" ref="G25">IF($D$2=0,0,MAX(0,MIN(1,(A25-'extras'!$E$3*$D$2)/('extras'!$E$4*$D$2))))</f>
        <v>0</v>
      </c>
      <c r="H25" s="4" cm="1">
        <f t="array" ref="H25">$E$2*(G25^2*(3-2*G25))</f>
        <v>0</v>
      </c>
    </row>
    <row r="26" ht="15.75" customHeight="1">
      <c r="A26" s="4" cm="1">
        <f t="array" ref="A26">$D$2*(24)/200</f>
        <v>0.06</v>
      </c>
      <c r="B26" s="4">
        <v>0.009068881704449531</v>
      </c>
      <c r="C26" s="4">
        <v>0.00145359182564325</v>
      </c>
      <c r="D26" s="4" cm="1">
        <f t="array" ref="D26">'extras'!$B$3</f>
        <v>0.5</v>
      </c>
      <c r="E26" s="4" cm="1">
        <f t="array" ref="E26">'extras'!$B$6</f>
        <v>0.65</v>
      </c>
      <c r="F26" s="4" cm="1">
        <f t="array" ref="F26">(1-H26)*B26+H26*C26</f>
        <v>0.009068881704449531</v>
      </c>
      <c r="G26" s="4" cm="1">
        <f t="array" ref="G26">IF($D$2=0,0,MAX(0,MIN(1,(A26-'extras'!$E$3*$D$2)/('extras'!$E$4*$D$2))))</f>
        <v>0</v>
      </c>
      <c r="H26" s="4" cm="1">
        <f t="array" ref="H26">$E$2*(G26^2*(3-2*G26))</f>
        <v>0</v>
      </c>
    </row>
    <row r="27" ht="15.75" customHeight="1">
      <c r="A27" s="4" cm="1">
        <f t="array" ref="A27">$D$2*(25)/200</f>
        <v>0.0625</v>
      </c>
      <c r="B27" s="4">
        <v>0.00942109387924628</v>
      </c>
      <c r="C27" s="4">
        <v>0.00155229498605358</v>
      </c>
      <c r="D27" s="4" cm="1">
        <f t="array" ref="D27">'extras'!$B$3</f>
        <v>0.5</v>
      </c>
      <c r="E27" s="4" cm="1">
        <f t="array" ref="E27">'extras'!$B$6</f>
        <v>0.65</v>
      </c>
      <c r="F27" s="4" cm="1">
        <f t="array" ref="F27">(1-H27)*B27+H27*C27</f>
        <v>0.00942109387924628</v>
      </c>
      <c r="G27" s="4" cm="1">
        <f t="array" ref="G27">IF($D$2=0,0,MAX(0,MIN(1,(A27-'extras'!$E$3*$D$2)/('extras'!$E$4*$D$2))))</f>
        <v>0</v>
      </c>
      <c r="H27" s="4" cm="1">
        <f t="array" ref="H27">$E$2*(G27^2*(3-2*G27))</f>
        <v>0</v>
      </c>
    </row>
    <row r="28" ht="15.75" customHeight="1">
      <c r="A28" s="4" cm="1">
        <f t="array" ref="A28">$D$2*(26)/200</f>
        <v>0.065</v>
      </c>
      <c r="B28" s="4">
        <v>0.00977125965936709</v>
      </c>
      <c r="C28" s="4">
        <v>0.00165478456086616</v>
      </c>
      <c r="D28" s="4" cm="1">
        <f t="array" ref="D28">'extras'!$B$3</f>
        <v>0.5</v>
      </c>
      <c r="E28" s="4" cm="1">
        <f t="array" ref="E28">'extras'!$B$6</f>
        <v>0.65</v>
      </c>
      <c r="F28" s="4" cm="1">
        <f t="array" ref="F28">(1-H28)*B28+H28*C28</f>
        <v>0.00977125965936709</v>
      </c>
      <c r="G28" s="4" cm="1">
        <f t="array" ref="G28">IF($D$2=0,0,MAX(0,MIN(1,(A28-'extras'!$E$3*$D$2)/('extras'!$E$4*$D$2))))</f>
        <v>0</v>
      </c>
      <c r="H28" s="4" cm="1">
        <f t="array" ref="H28">$E$2*(G28^2*(3-2*G28))</f>
        <v>0</v>
      </c>
    </row>
    <row r="29" ht="15.75" customHeight="1">
      <c r="A29" s="4" cm="1">
        <f t="array" ref="A29">$D$2*(27)/200</f>
        <v>0.0675</v>
      </c>
      <c r="B29" s="4">
        <v>0.0101193797349084</v>
      </c>
      <c r="C29" s="4">
        <v>0.00176106315672792</v>
      </c>
      <c r="D29" s="4" cm="1">
        <f t="array" ref="D29">'extras'!$B$3</f>
        <v>0.5</v>
      </c>
      <c r="E29" s="4" cm="1">
        <f t="array" ref="E29">'extras'!$B$6</f>
        <v>0.65</v>
      </c>
      <c r="F29" s="4" cm="1">
        <f t="array" ref="F29">(1-H29)*B29+H29*C29</f>
        <v>0.0101193797349084</v>
      </c>
      <c r="G29" s="4" cm="1">
        <f t="array" ref="G29">IF($D$2=0,0,MAX(0,MIN(1,(A29-'extras'!$E$3*$D$2)/('extras'!$E$4*$D$2))))</f>
        <v>0</v>
      </c>
      <c r="H29" s="4" cm="1">
        <f t="array" ref="H29">$E$2*(G29^2*(3-2*G29))</f>
        <v>0</v>
      </c>
    </row>
    <row r="30" ht="15.75" customHeight="1">
      <c r="A30" s="4" cm="1">
        <f t="array" ref="A30">$D$2*(28)/200</f>
        <v>0.07000000000000001</v>
      </c>
      <c r="B30" s="4">
        <v>0.010465454791627</v>
      </c>
      <c r="C30" s="4">
        <v>0.00187113030199794</v>
      </c>
      <c r="D30" s="4" cm="1">
        <f t="array" ref="D30">'extras'!$B$3</f>
        <v>0.5</v>
      </c>
      <c r="E30" s="4" cm="1">
        <f t="array" ref="E30">'extras'!$B$6</f>
        <v>0.65</v>
      </c>
      <c r="F30" s="4" cm="1">
        <f t="array" ref="F30">(1-H30)*B30+H30*C30</f>
        <v>0.010465454791627</v>
      </c>
      <c r="G30" s="4" cm="1">
        <f t="array" ref="G30">IF($D$2=0,0,MAX(0,MIN(1,(A30-'extras'!$E$3*$D$2)/('extras'!$E$4*$D$2))))</f>
        <v>0</v>
      </c>
      <c r="H30" s="4" cm="1">
        <f t="array" ref="H30">$E$2*(G30^2*(3-2*G30))</f>
        <v>0</v>
      </c>
    </row>
    <row r="31" ht="15.75" customHeight="1">
      <c r="A31" s="4" cm="1">
        <f t="array" ref="A31">$D$2*(29)/200</f>
        <v>0.0725</v>
      </c>
      <c r="B31" s="4">
        <v>0.0108094855109484</v>
      </c>
      <c r="C31" s="4">
        <v>0.00198498228876663</v>
      </c>
      <c r="D31" s="4" cm="1">
        <f t="array" ref="D31">'extras'!$B$3</f>
        <v>0.5</v>
      </c>
      <c r="E31" s="4" cm="1">
        <f t="array" ref="E31">'extras'!$B$6</f>
        <v>0.65</v>
      </c>
      <c r="F31" s="4" cm="1">
        <f t="array" ref="F31">(1-H31)*B31+H31*C31</f>
        <v>0.0108094855109484</v>
      </c>
      <c r="G31" s="4" cm="1">
        <f t="array" ref="G31">IF($D$2=0,0,MAX(0,MIN(1,(A31-'extras'!$E$3*$D$2)/('extras'!$E$4*$D$2))))</f>
        <v>0</v>
      </c>
      <c r="H31" s="4" cm="1">
        <f t="array" ref="H31">$E$2*(G31^2*(3-2*G31))</f>
        <v>0</v>
      </c>
    </row>
    <row r="32" ht="15.75" customHeight="1">
      <c r="A32" s="4" cm="1">
        <f t="array" ref="A32">$D$2*(30)/200</f>
        <v>0.075</v>
      </c>
      <c r="B32" s="4">
        <v>0.0111514725699715</v>
      </c>
      <c r="C32" s="4">
        <v>0.00210261201920212</v>
      </c>
      <c r="D32" s="4" cm="1">
        <f t="array" ref="D32">'extras'!$B$3</f>
        <v>0.5</v>
      </c>
      <c r="E32" s="4" cm="1">
        <f t="array" ref="E32">'extras'!$B$6</f>
        <v>0.65</v>
      </c>
      <c r="F32" s="4" cm="1">
        <f t="array" ref="F32">(1-H32)*B32+H32*C32</f>
        <v>0.0111514725699715</v>
      </c>
      <c r="G32" s="4" cm="1">
        <f t="array" ref="G32">IF($D$2=0,0,MAX(0,MIN(1,(A32-'extras'!$E$3*$D$2)/('extras'!$E$4*$D$2))))</f>
        <v>0</v>
      </c>
      <c r="H32" s="4" cm="1">
        <f t="array" ref="H32">$E$2*(G32^2*(3-2*G32))</f>
        <v>0</v>
      </c>
    </row>
    <row r="33" ht="15.75" customHeight="1">
      <c r="A33" s="4" cm="1">
        <f t="array" ref="A33">$D$2*(31)/200</f>
        <v>0.0775</v>
      </c>
      <c r="B33" s="4">
        <v>0.0114914166414772</v>
      </c>
      <c r="C33" s="4">
        <v>0.00222400885716654</v>
      </c>
      <c r="D33" s="4" cm="1">
        <f t="array" ref="D33">'extras'!$B$3</f>
        <v>0.5</v>
      </c>
      <c r="E33" s="4" cm="1">
        <f t="array" ref="E33">'extras'!$B$6</f>
        <v>0.65</v>
      </c>
      <c r="F33" s="4" cm="1">
        <f t="array" ref="F33">(1-H33)*B33+H33*C33</f>
        <v>0.0114914166414772</v>
      </c>
      <c r="G33" s="4" cm="1">
        <f t="array" ref="G33">IF($D$2=0,0,MAX(0,MIN(1,(A33-'extras'!$E$3*$D$2)/('extras'!$E$4*$D$2))))</f>
        <v>0</v>
      </c>
      <c r="H33" s="4" cm="1">
        <f t="array" ref="H33">$E$2*(G33^2*(3-2*G33))</f>
        <v>0</v>
      </c>
    </row>
    <row r="34" ht="15.75" customHeight="1">
      <c r="A34" s="4" cm="1">
        <f t="array" ref="A34">$D$2*(32)/200</f>
        <v>0.08</v>
      </c>
      <c r="B34" s="4">
        <v>0.0118293183939349</v>
      </c>
      <c r="C34" s="4">
        <v>0.00234915848606187</v>
      </c>
      <c r="D34" s="4" cm="1">
        <f t="array" ref="D34">'extras'!$B$3</f>
        <v>0.5</v>
      </c>
      <c r="E34" s="4" cm="1">
        <f t="array" ref="E34">'extras'!$B$6</f>
        <v>0.65</v>
      </c>
      <c r="F34" s="4" cm="1">
        <f t="array" ref="F34">(1-H34)*B34+H34*C34</f>
        <v>0.0118293183939349</v>
      </c>
      <c r="G34" s="4" cm="1">
        <f t="array" ref="G34">IF($D$2=0,0,MAX(0,MIN(1,(A34-'extras'!$E$3*$D$2)/('extras'!$E$4*$D$2))))</f>
        <v>0</v>
      </c>
      <c r="H34" s="4" cm="1">
        <f t="array" ref="H34">$E$2*(G34^2*(3-2*G34))</f>
        <v>0</v>
      </c>
    </row>
    <row r="35" ht="15.75" customHeight="1">
      <c r="A35" s="4" cm="1">
        <f t="array" ref="A35">$D$2*(33)/200</f>
        <v>0.0825</v>
      </c>
      <c r="B35" s="4">
        <v>0.0121651784915087</v>
      </c>
      <c r="C35" s="4">
        <v>0.00247804277387698</v>
      </c>
      <c r="D35" s="4" cm="1">
        <f t="array" ref="D35">'extras'!$B$3</f>
        <v>0.5</v>
      </c>
      <c r="E35" s="4" cm="1">
        <f t="array" ref="E35">'extras'!$B$6</f>
        <v>0.65</v>
      </c>
      <c r="F35" s="4" cm="1">
        <f t="array" ref="F35">(1-H35)*B35+H35*C35</f>
        <v>0.0121651784915087</v>
      </c>
      <c r="G35" s="4" cm="1">
        <f t="array" ref="G35">IF($D$2=0,0,MAX(0,MIN(1,(A35-'extras'!$E$3*$D$2)/('extras'!$E$4*$D$2))))</f>
        <v>0</v>
      </c>
      <c r="H35" s="4" cm="1">
        <f t="array" ref="H35">$E$2*(G35^2*(3-2*G35))</f>
        <v>0</v>
      </c>
    </row>
    <row r="36" ht="15.75" customHeight="1">
      <c r="A36" s="4" cm="1">
        <f t="array" ref="A36">$D$2*(34)/200</f>
        <v>0.08500000000000001</v>
      </c>
      <c r="B36" s="4">
        <v>0.0124989975940655</v>
      </c>
      <c r="C36" s="4">
        <v>0.00261063964641376</v>
      </c>
      <c r="D36" s="4" cm="1">
        <f t="array" ref="D36">'extras'!$B$3</f>
        <v>0.5</v>
      </c>
      <c r="E36" s="4" cm="1">
        <f t="array" ref="E36">'extras'!$B$6</f>
        <v>0.65</v>
      </c>
      <c r="F36" s="4" cm="1">
        <f t="array" ref="F36">(1-H36)*B36+H36*C36</f>
        <v>0.0124989975940655</v>
      </c>
      <c r="G36" s="4" cm="1">
        <f t="array" ref="G36">IF($D$2=0,0,MAX(0,MIN(1,(A36-'extras'!$E$3*$D$2)/('extras'!$E$4*$D$2))))</f>
        <v>0</v>
      </c>
      <c r="H36" s="4" cm="1">
        <f t="array" ref="H36">$E$2*(G36^2*(3-2*G36))</f>
        <v>0</v>
      </c>
    </row>
    <row r="37" ht="15.75" customHeight="1">
      <c r="A37" s="4" cm="1">
        <f t="array" ref="A37">$D$2*(35)/200</f>
        <v>0.08749999999999999</v>
      </c>
      <c r="B37" s="4">
        <v>0.0128307763571778</v>
      </c>
      <c r="C37" s="4">
        <v>0.00274692296967057</v>
      </c>
      <c r="D37" s="4" cm="1">
        <f t="array" ref="D37">'extras'!$B$3</f>
        <v>0.5</v>
      </c>
      <c r="E37" s="4" cm="1">
        <f t="array" ref="E37">'extras'!$B$6</f>
        <v>0.65</v>
      </c>
      <c r="F37" s="4" cm="1">
        <f t="array" ref="F37">(1-H37)*B37+H37*C37</f>
        <v>0.0128307763571778</v>
      </c>
      <c r="G37" s="4" cm="1">
        <f t="array" ref="G37">IF($D$2=0,0,MAX(0,MIN(1,(A37-'extras'!$E$3*$D$2)/('extras'!$E$4*$D$2))))</f>
        <v>0</v>
      </c>
      <c r="H37" s="4" cm="1">
        <f t="array" ref="H37">$E$2*(G37^2*(3-2*G37))</f>
        <v>0</v>
      </c>
    </row>
    <row r="38" ht="15.75" customHeight="1">
      <c r="A38" s="4" cm="1">
        <f t="array" ref="A38">$D$2*(36)/200</f>
        <v>0.09</v>
      </c>
      <c r="B38" s="4">
        <v>0.0131605154321353</v>
      </c>
      <c r="C38" s="4">
        <v>0.00288686244235568</v>
      </c>
      <c r="D38" s="4" cm="1">
        <f t="array" ref="D38">'extras'!$B$3</f>
        <v>0.5</v>
      </c>
      <c r="E38" s="4" cm="1">
        <f t="array" ref="E38">'extras'!$B$6</f>
        <v>0.65</v>
      </c>
      <c r="F38" s="4" cm="1">
        <f t="array" ref="F38">(1-H38)*B38+H38*C38</f>
        <v>0.0131605154321353</v>
      </c>
      <c r="G38" s="4" cm="1">
        <f t="array" ref="G38">IF($D$2=0,0,MAX(0,MIN(1,(A38-'extras'!$E$3*$D$2)/('extras'!$E$4*$D$2))))</f>
        <v>0</v>
      </c>
      <c r="H38" s="4" cm="1">
        <f t="array" ref="H38">$E$2*(G38^2*(3-2*G38))</f>
        <v>0</v>
      </c>
    </row>
    <row r="39" ht="15.75" customHeight="1">
      <c r="A39" s="4" cm="1">
        <f t="array" ref="A39">$D$2*(37)/200</f>
        <v>0.0925</v>
      </c>
      <c r="B39" s="4">
        <v>0.0134882154659492</v>
      </c>
      <c r="C39" s="4">
        <v>0.00303042349949114</v>
      </c>
      <c r="D39" s="4" cm="1">
        <f t="array" ref="D39">'extras'!$B$3</f>
        <v>0.5</v>
      </c>
      <c r="E39" s="4" cm="1">
        <f t="array" ref="E39">'extras'!$B$6</f>
        <v>0.65</v>
      </c>
      <c r="F39" s="4" cm="1">
        <f t="array" ref="F39">(1-H39)*B39+H39*C39</f>
        <v>0.0134882154659492</v>
      </c>
      <c r="G39" s="4" cm="1">
        <f t="array" ref="G39">IF($D$2=0,0,MAX(0,MIN(1,(A39-'extras'!$E$3*$D$2)/('extras'!$E$4*$D$2))))</f>
        <v>0</v>
      </c>
      <c r="H39" s="4" cm="1">
        <f t="array" ref="H39">$E$2*(G39^2*(3-2*G39))</f>
        <v>0</v>
      </c>
    </row>
    <row r="40" ht="15.75" customHeight="1">
      <c r="A40" s="4" cm="1">
        <f t="array" ref="A40">$D$2*(38)/200</f>
        <v>0.095</v>
      </c>
      <c r="B40" s="4">
        <v>0.0138138771013572</v>
      </c>
      <c r="C40" s="4">
        <v>0.00317756722804878</v>
      </c>
      <c r="D40" s="4" cm="1">
        <f t="array" ref="D40">'extras'!$B$3</f>
        <v>0.5</v>
      </c>
      <c r="E40" s="4" cm="1">
        <f t="array" ref="E40">'extras'!$B$6</f>
        <v>0.65</v>
      </c>
      <c r="F40" s="4" cm="1">
        <f t="array" ref="F40">(1-H40)*B40+H40*C40</f>
        <v>0.0138138771013572</v>
      </c>
      <c r="G40" s="4" cm="1">
        <f t="array" ref="G40">IF($D$2=0,0,MAX(0,MIN(1,(A40-'extras'!$E$3*$D$2)/('extras'!$E$4*$D$2))))</f>
        <v>0</v>
      </c>
      <c r="H40" s="4" cm="1">
        <f t="array" ref="H40">$E$2*(G40^2*(3-2*G40))</f>
        <v>0</v>
      </c>
    </row>
    <row r="41" ht="15.75" customHeight="1">
      <c r="A41" s="4" cm="1">
        <f t="array" ref="A41">$D$2*(39)/200</f>
        <v>0.0975</v>
      </c>
      <c r="B41" s="4">
        <v>0.0141375009768328</v>
      </c>
      <c r="C41" s="4">
        <v>0.00332825029553465</v>
      </c>
      <c r="D41" s="4" cm="1">
        <f t="array" ref="D41">'extras'!$B$3</f>
        <v>0.5</v>
      </c>
      <c r="E41" s="4" cm="1">
        <f t="array" ref="E41">'extras'!$B$6</f>
        <v>0.65</v>
      </c>
      <c r="F41" s="4" cm="1">
        <f t="array" ref="F41">(1-H41)*B41+H41*C41</f>
        <v>0.0141375009768328</v>
      </c>
      <c r="G41" s="4" cm="1">
        <f t="array" ref="G41">IF($D$2=0,0,MAX(0,MIN(1,(A41-'extras'!$E$3*$D$2)/('extras'!$E$4*$D$2))))</f>
        <v>0</v>
      </c>
      <c r="H41" s="4" cm="1">
        <f t="array" ref="H41">$E$2*(G41^2*(3-2*G41))</f>
        <v>0</v>
      </c>
    </row>
    <row r="42" ht="15.75" customHeight="1">
      <c r="A42" s="4" cm="1">
        <f t="array" ref="A42">$D$2*(40)/200</f>
        <v>0.1</v>
      </c>
      <c r="B42" s="4">
        <v>0.0144590877265887</v>
      </c>
      <c r="C42" s="4">
        <v>0.00348242489240583</v>
      </c>
      <c r="D42" s="4" cm="1">
        <f t="array" ref="D42">'extras'!$B$3</f>
        <v>0.5</v>
      </c>
      <c r="E42" s="4" cm="1">
        <f t="array" ref="E42">'extras'!$B$6</f>
        <v>0.65</v>
      </c>
      <c r="F42" s="4" cm="1">
        <f t="array" ref="F42">(1-H42)*B42+H42*C42</f>
        <v>0.0144590877265887</v>
      </c>
      <c r="G42" s="4" cm="1">
        <f t="array" ref="G42">IF($D$2=0,0,MAX(0,MIN(1,(A42-'extras'!$E$3*$D$2)/('extras'!$E$4*$D$2))))</f>
        <v>0</v>
      </c>
      <c r="H42" s="4" cm="1">
        <f t="array" ref="H42">$E$2*(G42^2*(3-2*G42))</f>
        <v>0</v>
      </c>
    </row>
    <row r="43" ht="15.75" customHeight="1">
      <c r="A43" s="4" cm="1">
        <f t="array" ref="A43">$D$2*(41)/200</f>
        <v>0.1025</v>
      </c>
      <c r="B43" s="4">
        <v>0.0147786379805863</v>
      </c>
      <c r="C43" s="4">
        <v>0.0036400386891644</v>
      </c>
      <c r="D43" s="4" cm="1">
        <f t="array" ref="D43">'extras'!$B$3</f>
        <v>0.5</v>
      </c>
      <c r="E43" s="4" cm="1">
        <f t="array" ref="E43">'extras'!$B$6</f>
        <v>0.65</v>
      </c>
      <c r="F43" s="4" cm="1">
        <f t="array" ref="F43">(1-H43)*B43+H43*C43</f>
        <v>0.0147771380083322</v>
      </c>
      <c r="G43" s="4" cm="1">
        <f t="array" ref="G43">IF($D$2=0,0,MAX(0,MIN(1,(A43-'extras'!$E$3*$D$2)/('extras'!$E$4*$D$2))))</f>
        <v>0.00833333333333333</v>
      </c>
      <c r="H43" s="4" cm="1">
        <f t="array" ref="H43">$E$2*(G43^2*(3-2*G43))</f>
        <v>0.000134664351851852</v>
      </c>
    </row>
    <row r="44" ht="15.75" customHeight="1">
      <c r="A44" s="4" cm="1">
        <f t="array" ref="A44">$D$2*(42)/200</f>
        <v>0.105</v>
      </c>
      <c r="B44" s="4">
        <v>0.015096152364539</v>
      </c>
      <c r="C44" s="4">
        <v>0.00380103480892694</v>
      </c>
      <c r="D44" s="4" cm="1">
        <f t="array" ref="D44">'extras'!$B$3</f>
        <v>0.5</v>
      </c>
      <c r="E44" s="4" cm="1">
        <f t="array" ref="E44">'extras'!$B$6</f>
        <v>0.65</v>
      </c>
      <c r="F44" s="4" cm="1">
        <f t="array" ref="F44">(1-H44)*B44+H44*C44</f>
        <v>0.0150901021557372</v>
      </c>
      <c r="G44" s="4" cm="1">
        <f t="array" ref="G44">IF($D$2=0,0,MAX(0,MIN(1,(A44-'extras'!$E$3*$D$2)/('extras'!$E$4*$D$2))))</f>
        <v>0.0166666666666667</v>
      </c>
      <c r="H44" s="4" cm="1">
        <f t="array" ref="H44">$E$2*(G44^2*(3-2*G44))</f>
        <v>0.00053564814814815</v>
      </c>
    </row>
    <row r="45" ht="15.75" customHeight="1">
      <c r="A45" s="4" cm="1">
        <f t="array" ref="A45">$D$2*(43)/200</f>
        <v>0.1075</v>
      </c>
      <c r="B45" s="4">
        <v>0.0154116314999215</v>
      </c>
      <c r="C45" s="4">
        <v>0.00396535181621501</v>
      </c>
      <c r="D45" s="4" cm="1">
        <f t="array" ref="D45">'extras'!$B$3</f>
        <v>0.5</v>
      </c>
      <c r="E45" s="4" cm="1">
        <f t="array" ref="E45">'extras'!$B$6</f>
        <v>0.65</v>
      </c>
      <c r="F45" s="4" cm="1">
        <f t="array" ref="F45">(1-H45)*B45+H45*C45</f>
        <v>0.0153979138491131</v>
      </c>
      <c r="G45" s="4" cm="1">
        <f t="array" ref="G45">IF($D$2=0,0,MAX(0,MIN(1,(A45-'extras'!$E$3*$D$2)/('extras'!$E$4*$D$2))))</f>
        <v>0.025</v>
      </c>
      <c r="H45" s="4" cm="1">
        <f t="array" ref="H45">$E$2*(G45^2*(3-2*G45))</f>
        <v>0.0011984375</v>
      </c>
    </row>
    <row r="46" ht="15.75" customHeight="1">
      <c r="A46" s="4" cm="1">
        <f t="array" ref="A46">$D$2*(44)/200</f>
        <v>0.11</v>
      </c>
      <c r="B46" s="4">
        <v>0.0157250760039727</v>
      </c>
      <c r="C46" s="4">
        <v>0.00413292372265228</v>
      </c>
      <c r="D46" s="4" cm="1">
        <f t="array" ref="D46">'extras'!$B$3</f>
        <v>0.5</v>
      </c>
      <c r="E46" s="4" cm="1">
        <f t="array" ref="E46">'extras'!$B$6</f>
        <v>0.65</v>
      </c>
      <c r="F46" s="4" cm="1">
        <f t="array" ref="F46">(1-H46)*B46+H46*C46</f>
        <v>0.0157005178146952</v>
      </c>
      <c r="G46" s="4" cm="1">
        <f t="array" ref="G46">IF($D$2=0,0,MAX(0,MIN(1,(A46-'extras'!$E$3*$D$2)/('extras'!$E$4*$D$2))))</f>
        <v>0.0333333333333333</v>
      </c>
      <c r="H46" s="4" cm="1">
        <f t="array" ref="H46">$E$2*(G46^2*(3-2*G46))</f>
        <v>0.00211851851851851</v>
      </c>
    </row>
    <row r="47" ht="15.75" customHeight="1">
      <c r="A47" s="4" cm="1">
        <f t="array" ref="A47">$D$2*(45)/200</f>
        <v>0.1125</v>
      </c>
      <c r="B47" s="4">
        <v>0.0160364864897047</v>
      </c>
      <c r="C47" s="4">
        <v>0.00430368001018709</v>
      </c>
      <c r="D47" s="4" cm="1">
        <f t="array" ref="D47">'extras'!$B$3</f>
        <v>0.5</v>
      </c>
      <c r="E47" s="4" cm="1">
        <f t="array" ref="E47">'extras'!$B$6</f>
        <v>0.65</v>
      </c>
      <c r="F47" s="4" cm="1">
        <f t="array" ref="F47">(1-H47)*B47+H47*C47</f>
        <v>0.0159978693966189</v>
      </c>
      <c r="G47" s="4" cm="1">
        <f t="array" ref="G47">IF($D$2=0,0,MAX(0,MIN(1,(A47-'extras'!$E$3*$D$2)/('extras'!$E$4*$D$2))))</f>
        <v>0.0416666666666667</v>
      </c>
      <c r="H47" s="4" cm="1">
        <f t="array" ref="H47">$E$2*(G47^2*(3-2*G47))</f>
        <v>0.00329137731481482</v>
      </c>
    </row>
    <row r="48" ht="15.75" customHeight="1">
      <c r="A48" s="4" cm="1">
        <f t="array" ref="A48">$D$2*(46)/200</f>
        <v>0.115</v>
      </c>
      <c r="B48" s="4">
        <v>0.0163458635659075</v>
      </c>
      <c r="C48" s="4">
        <v>0.00447754567238676</v>
      </c>
      <c r="D48" s="4" cm="1">
        <f t="array" ref="D48">'extras'!$B$3</f>
        <v>0.5</v>
      </c>
      <c r="E48" s="4" cm="1">
        <f t="array" ref="E48">'extras'!$B$6</f>
        <v>0.65</v>
      </c>
      <c r="F48" s="4" cm="1">
        <f t="array" ref="F48">(1-H48)*B48+H48*C48</f>
        <v>0.0162899341178343</v>
      </c>
      <c r="G48" s="4" cm="1">
        <f t="array" ref="G48">IF($D$2=0,0,MAX(0,MIN(1,(A48-'extras'!$E$3*$D$2)/('extras'!$E$4*$D$2))))</f>
        <v>0.05</v>
      </c>
      <c r="H48" s="4" cm="1">
        <f t="array" ref="H48">$E$2*(G48^2*(3-2*G48))</f>
        <v>0.0047125</v>
      </c>
    </row>
    <row r="49" ht="15.75" customHeight="1">
      <c r="A49" s="4" cm="1">
        <f t="array" ref="A49">$D$2*(47)/200</f>
        <v>0.1175</v>
      </c>
      <c r="B49" s="4">
        <v>0.0166532078371553</v>
      </c>
      <c r="C49" s="4">
        <v>0.00465444127427039</v>
      </c>
      <c r="D49" s="4" cm="1">
        <f t="array" ref="D49">'extras'!$B$3</f>
        <v>0.5</v>
      </c>
      <c r="E49" s="4" cm="1">
        <f t="array" ref="E49">'extras'!$B$6</f>
        <v>0.65</v>
      </c>
      <c r="F49" s="4" cm="1">
        <f t="array" ref="F49">(1-H49)*B49+H49*C49</f>
        <v>0.0165766872310212</v>
      </c>
      <c r="G49" s="4" cm="1">
        <f t="array" ref="G49">IF($D$2=0,0,MAX(0,MIN(1,(A49-'extras'!$E$3*$D$2)/('extras'!$E$4*$D$2))))</f>
        <v>0.0583333333333333</v>
      </c>
      <c r="H49" s="4" cm="1">
        <f t="array" ref="H49">$E$2*(G49^2*(3-2*G49))</f>
        <v>0.00637737268518518</v>
      </c>
    </row>
    <row r="50" ht="15.75" customHeight="1">
      <c r="A50" s="4" cm="1">
        <f t="array" ref="A50">$D$2*(48)/200</f>
        <v>0.12</v>
      </c>
      <c r="B50" s="4">
        <v>0.0169585199038122</v>
      </c>
      <c r="C50" s="4">
        <v>0.00483428303106234</v>
      </c>
      <c r="D50" s="4" cm="1">
        <f t="array" ref="D50">'extras'!$B$3</f>
        <v>0.5</v>
      </c>
      <c r="E50" s="4" cm="1">
        <f t="array" ref="E50">'extras'!$B$6</f>
        <v>0.65</v>
      </c>
      <c r="F50" s="4" cm="1">
        <f t="array" ref="F50">(1-H50)*B50+H50*C50</f>
        <v>0.0168581132606734</v>
      </c>
      <c r="G50" s="4" cm="1">
        <f t="array" ref="G50">IF($D$2=0,0,MAX(0,MIN(1,(A50-'extras'!$E$3*$D$2)/('extras'!$E$4*$D$2))))</f>
        <v>0.06666666666666669</v>
      </c>
      <c r="H50" s="4" cm="1">
        <f t="array" ref="H50">$E$2*(G50^2*(3-2*G50))</f>
        <v>0.00828148148148149</v>
      </c>
    </row>
    <row r="51" ht="15.75" customHeight="1">
      <c r="A51" s="4" cm="1">
        <f t="array" ref="A51">$D$2*(49)/200</f>
        <v>0.1225</v>
      </c>
      <c r="B51" s="4">
        <v>0.0172618003620388</v>
      </c>
      <c r="C51" s="4">
        <v>0.00501698290615816</v>
      </c>
      <c r="D51" s="4" cm="1">
        <f t="array" ref="D51">'extras'!$B$3</f>
        <v>0.5</v>
      </c>
      <c r="E51" s="4" cm="1">
        <f t="array" ref="E51">'extras'!$B$6</f>
        <v>0.65</v>
      </c>
      <c r="F51" s="4" cm="1">
        <f t="array" ref="F51">(1-H51)*B51+H51*C51</f>
        <v>0.0171342055376431</v>
      </c>
      <c r="G51" s="4" cm="1">
        <f t="array" ref="G51">IF($D$2=0,0,MAX(0,MIN(1,(A51-'extras'!$E$3*$D$2)/('extras'!$E$4*$D$2))))</f>
        <v>0.075</v>
      </c>
      <c r="H51" s="4" cm="1">
        <f t="array" ref="H51">$E$2*(G51^2*(3-2*G51))</f>
        <v>0.0104203125</v>
      </c>
    </row>
    <row r="52" ht="15.75" customHeight="1">
      <c r="A52" s="4" cm="1">
        <f t="array" ref="A52">$D$2*(50)/200</f>
        <v>0.125</v>
      </c>
      <c r="B52" s="4">
        <v>0.0175630498037989</v>
      </c>
      <c r="C52" s="4">
        <v>0.00520244872849904</v>
      </c>
      <c r="D52" s="4" cm="1">
        <f t="array" ref="D52">'extras'!$B$3</f>
        <v>0.5</v>
      </c>
      <c r="E52" s="4" cm="1">
        <f t="array" ref="E52">'extras'!$B$6</f>
        <v>0.65</v>
      </c>
      <c r="F52" s="4" cm="1">
        <f t="array" ref="F52">(1-H52)*B52+H52*C52</f>
        <v>0.0174049657275465</v>
      </c>
      <c r="G52" s="4" cm="1">
        <f t="array" ref="G52">IF($D$2=0,0,MAX(0,MIN(1,(A52-'extras'!$E$3*$D$2)/('extras'!$E$4*$D$2))))</f>
        <v>0.0833333333333333</v>
      </c>
      <c r="H52" s="4" cm="1">
        <f t="array" ref="H52">$E$2*(G52^2*(3-2*G52))</f>
        <v>0.0127893518518518</v>
      </c>
    </row>
    <row r="53" ht="15.75" customHeight="1">
      <c r="A53" s="4" cm="1">
        <f t="array" ref="A53">$D$2*(51)/200</f>
        <v>0.1275</v>
      </c>
      <c r="B53" s="4">
        <v>0.0178622688168622</v>
      </c>
      <c r="C53" s="4">
        <v>0.00539058432945178</v>
      </c>
      <c r="D53" s="4" cm="1">
        <f t="array" ref="D53">'extras'!$B$3</f>
        <v>0.5</v>
      </c>
      <c r="E53" s="4" cm="1">
        <f t="array" ref="E53">'extras'!$B$6</f>
        <v>0.65</v>
      </c>
      <c r="F53" s="4" cm="1">
        <f t="array" ref="F53">(1-H53)*B53+H53*C53</f>
        <v>0.0176704033545312</v>
      </c>
      <c r="G53" s="4" cm="1">
        <f t="array" ref="G53">IF($D$2=0,0,MAX(0,MIN(1,(A53-'extras'!$E$3*$D$2)/('extras'!$E$4*$D$2))))</f>
        <v>0.0916666666666667</v>
      </c>
      <c r="H53" s="4" cm="1">
        <f t="array" ref="H53">$E$2*(G53^2*(3-2*G53))</f>
        <v>0.0153840856481482</v>
      </c>
    </row>
    <row r="54" ht="15.75" customHeight="1">
      <c r="A54" s="4" cm="1">
        <f t="array" ref="A54">$D$2*(52)/200</f>
        <v>0.13</v>
      </c>
      <c r="B54" s="4">
        <v>0.0181594579848143</v>
      </c>
      <c r="C54" s="4">
        <v>0.00558128969918673</v>
      </c>
      <c r="D54" s="4" cm="1">
        <f t="array" ref="D54">'extras'!$B$3</f>
        <v>0.5</v>
      </c>
      <c r="E54" s="4" cm="1">
        <f t="array" ref="E54">'extras'!$B$6</f>
        <v>0.65</v>
      </c>
      <c r="F54" s="4" cm="1">
        <f t="array" ref="F54">(1-H54)*B54+H54*C54</f>
        <v>0.0179305353220159</v>
      </c>
      <c r="G54" s="4" cm="1">
        <f t="array" ref="G54">IF($D$2=0,0,MAX(0,MIN(1,(A54-'extras'!$E$3*$D$2)/('extras'!$E$4*$D$2))))</f>
        <v>0.1</v>
      </c>
      <c r="H54" s="4" cm="1">
        <f t="array" ref="H54">$E$2*(G54^2*(3-2*G54))</f>
        <v>0.0182</v>
      </c>
    </row>
    <row r="55" ht="15.75" customHeight="1">
      <c r="A55" s="4" cm="1">
        <f t="array" ref="A55">$D$2*(53)/200</f>
        <v>0.1325</v>
      </c>
      <c r="B55" s="4">
        <v>0.0184546178870604</v>
      </c>
      <c r="C55" s="4">
        <v>0.00577446116243951</v>
      </c>
      <c r="D55" s="4" cm="1">
        <f t="array" ref="D55">'extras'!$B$3</f>
        <v>0.5</v>
      </c>
      <c r="E55" s="4" cm="1">
        <f t="array" ref="E55">'extras'!$B$6</f>
        <v>0.65</v>
      </c>
      <c r="F55" s="4" cm="1">
        <f t="array" ref="F55">(1-H55)*B55+H55*C55</f>
        <v>0.0181853854320774</v>
      </c>
      <c r="G55" s="4" cm="1">
        <f t="array" ref="G55">IF($D$2=0,0,MAX(0,MIN(1,(A55-'extras'!$E$3*$D$2)/('extras'!$E$4*$D$2))))</f>
        <v>0.108333333333333</v>
      </c>
      <c r="H55" s="4" cm="1">
        <f t="array" ref="H55">$E$2*(G55^2*(3-2*G55))</f>
        <v>0.0212325810185184</v>
      </c>
    </row>
    <row r="56" ht="15.75" customHeight="1">
      <c r="A56" s="4" cm="1">
        <f t="array" ref="A56">$D$2*(54)/200</f>
        <v>0.135</v>
      </c>
      <c r="B56" s="4">
        <v>0.018747749098829</v>
      </c>
      <c r="C56" s="4">
        <v>0.00596999157343272</v>
      </c>
      <c r="D56" s="4" cm="1">
        <f t="array" ref="D56">'extras'!$B$3</f>
        <v>0.5</v>
      </c>
      <c r="E56" s="4" cm="1">
        <f t="array" ref="E56">'extras'!$B$6</f>
        <v>0.65</v>
      </c>
      <c r="F56" s="4" cm="1">
        <f t="array" ref="F56">(1-H56)*B56+H56*C56</f>
        <v>0.0184349839052525</v>
      </c>
      <c r="G56" s="4" cm="1">
        <f t="array" ref="G56">IF($D$2=0,0,MAX(0,MIN(1,(A56-'extras'!$E$3*$D$2)/('extras'!$E$4*$D$2))))</f>
        <v>0.116666666666667</v>
      </c>
      <c r="H56" s="4" cm="1">
        <f t="array" ref="H56">$E$2*(G56^2*(3-2*G56))</f>
        <v>0.024477314814815</v>
      </c>
    </row>
    <row r="57" ht="15.75" customHeight="1">
      <c r="A57" s="4" cm="1">
        <f t="array" ref="A57">$D$2*(55)/200</f>
        <v>0.1375</v>
      </c>
      <c r="B57" s="4">
        <v>0.0190388521911826</v>
      </c>
      <c r="C57" s="4">
        <v>0.00616777052962149</v>
      </c>
      <c r="D57" s="4" cm="1">
        <f t="array" ref="D57">'extras'!$B$3</f>
        <v>0.5</v>
      </c>
      <c r="E57" s="4" cm="1">
        <f t="array" ref="E57">'extras'!$B$6</f>
        <v>0.65</v>
      </c>
      <c r="F57" s="4" cm="1">
        <f t="array" ref="F57">(1-H57)*B57+H57*C57</f>
        <v>0.0186793669025882</v>
      </c>
      <c r="G57" s="4" cm="1">
        <f t="array" ref="G57">IF($D$2=0,0,MAX(0,MIN(1,(A57-'extras'!$E$3*$D$2)/('extras'!$E$4*$D$2))))</f>
        <v>0.125</v>
      </c>
      <c r="H57" s="4" cm="1">
        <f t="array" ref="H57">$E$2*(G57^2*(3-2*G57))</f>
        <v>0.0279296875</v>
      </c>
    </row>
    <row r="58" ht="15.75" customHeight="1">
      <c r="A58" s="4" cm="1">
        <f t="array" ref="A58">$D$2*(56)/200</f>
        <v>0.14</v>
      </c>
      <c r="B58" s="4">
        <v>0.0193279277310188</v>
      </c>
      <c r="C58" s="4">
        <v>0.0063676846038144</v>
      </c>
      <c r="D58" s="4" cm="1">
        <f t="array" ref="D58">'extras'!$B$3</f>
        <v>0.5</v>
      </c>
      <c r="E58" s="4" cm="1">
        <f t="array" ref="E58">'extras'!$B$6</f>
        <v>0.65</v>
      </c>
      <c r="F58" s="4" cm="1">
        <f t="array" ref="F58">(1-H58)*B58+H58*C58</f>
        <v>0.018918576051801</v>
      </c>
      <c r="G58" s="4" cm="1">
        <f t="array" ref="G58">IF($D$2=0,0,MAX(0,MIN(1,(A58-'extras'!$E$3*$D$2)/('extras'!$E$4*$D$2))))</f>
        <v>0.133333333333333</v>
      </c>
      <c r="H58" s="4" cm="1">
        <f t="array" ref="H58">$E$2*(G58^2*(3-2*G58))</f>
        <v>0.031585185185185</v>
      </c>
    </row>
    <row r="59" ht="15.75" customHeight="1">
      <c r="A59" s="4" cm="1">
        <f t="array" ref="A59">$D$2*(57)/200</f>
        <v>0.1425</v>
      </c>
      <c r="B59" s="4">
        <v>0.0196149762810776</v>
      </c>
      <c r="C59" s="4">
        <v>0.00656961759410725</v>
      </c>
      <c r="D59" s="4" cm="1">
        <f t="array" ref="D59">'extras'!$B$3</f>
        <v>0.5</v>
      </c>
      <c r="E59" s="4" cm="1">
        <f t="array" ref="E59">'extras'!$B$6</f>
        <v>0.65</v>
      </c>
      <c r="F59" s="4" cm="1">
        <f t="array" ref="F59">(1-H59)*B59+H59*C59</f>
        <v>0.0191526579794762</v>
      </c>
      <c r="G59" s="4" cm="1">
        <f t="array" ref="G59">IF($D$2=0,0,MAX(0,MIN(1,(A59-'extras'!$E$3*$D$2)/('extras'!$E$4*$D$2))))</f>
        <v>0.141666666666667</v>
      </c>
      <c r="H59" s="4" cm="1">
        <f t="array" ref="H59">$E$2*(G59^2*(3-2*G59))</f>
        <v>0.0354392939814816</v>
      </c>
    </row>
    <row r="60" ht="15.75" customHeight="1">
      <c r="A60" s="4" cm="1">
        <f t="array" ref="A60">$D$2*(58)/200</f>
        <v>0.145</v>
      </c>
      <c r="B60" s="4">
        <v>0.0198999983999491</v>
      </c>
      <c r="C60" s="4">
        <v>0.00677345079095428</v>
      </c>
      <c r="D60" s="4" cm="1">
        <f t="array" ref="D60">'extras'!$B$3</f>
        <v>0.5</v>
      </c>
      <c r="E60" s="4" cm="1">
        <f t="array" ref="E60">'extras'!$B$6</f>
        <v>0.65</v>
      </c>
      <c r="F60" s="4" cm="1">
        <f t="array" ref="F60">(1-H60)*B60+H60*C60</f>
        <v>0.0193816638512389</v>
      </c>
      <c r="G60" s="4" cm="1">
        <f t="array" ref="G60">IF($D$2=0,0,MAX(0,MIN(1,(A60-'extras'!$E$3*$D$2)/('extras'!$E$4*$D$2))))</f>
        <v>0.15</v>
      </c>
      <c r="H60" s="4" cm="1">
        <f t="array" ref="H60">$E$2*(G60^2*(3-2*G60))</f>
        <v>0.0394875</v>
      </c>
    </row>
    <row r="61" ht="15.75" customHeight="1">
      <c r="A61" s="4" cm="1">
        <f t="array" ref="A61">$D$2*(59)/200</f>
        <v>0.1475</v>
      </c>
      <c r="B61" s="4">
        <v>0.0201829946420737</v>
      </c>
      <c r="C61" s="4">
        <v>0.00697906326058891</v>
      </c>
      <c r="D61" s="4" cm="1">
        <f t="array" ref="D61">'extras'!$B$3</f>
        <v>0.5</v>
      </c>
      <c r="E61" s="4" cm="1">
        <f t="array" ref="E61">'extras'!$B$6</f>
        <v>0.65</v>
      </c>
      <c r="F61" s="4" cm="1">
        <f t="array" ref="F61">(1-H61)*B61+H61*C61</f>
        <v>0.0196056489218363</v>
      </c>
      <c r="G61" s="4" cm="1">
        <f t="array" ref="G61">IF($D$2=0,0,MAX(0,MIN(1,(A61-'extras'!$E$3*$D$2)/('extras'!$E$4*$D$2))))</f>
        <v>0.158333333333333</v>
      </c>
      <c r="H61" s="4" cm="1">
        <f t="array" ref="H61">$E$2*(G61^2*(3-2*G61))</f>
        <v>0.0437252893518517</v>
      </c>
    </row>
    <row r="62" ht="15.75" customHeight="1">
      <c r="A62" s="4" cm="1">
        <f t="array" ref="A62">$D$2*(60)/200</f>
        <v>0.15</v>
      </c>
      <c r="B62" s="4">
        <v>0.0204639655577536</v>
      </c>
      <c r="C62" s="4">
        <v>0.00718633214389615</v>
      </c>
      <c r="D62" s="4" cm="1">
        <f t="array" ref="D62">'extras'!$B$3</f>
        <v>0.5</v>
      </c>
      <c r="E62" s="4" cm="1">
        <f t="array" ref="E62">'extras'!$B$6</f>
        <v>0.65</v>
      </c>
      <c r="F62" s="4" cm="1">
        <f t="array" ref="F62">(1-H62)*B62+H62*C62</f>
        <v>0.0198246720970864</v>
      </c>
      <c r="G62" s="4" cm="1">
        <f t="array" ref="G62">IF($D$2=0,0,MAX(0,MIN(1,(A62-'extras'!$E$3*$D$2)/('extras'!$E$4*$D$2))))</f>
        <v>0.166666666666667</v>
      </c>
      <c r="H62" s="4" cm="1">
        <f t="array" ref="H62">$E$2*(G62^2*(3-2*G62))</f>
        <v>0.0481481481481483</v>
      </c>
    </row>
    <row r="63" ht="15.75" customHeight="1">
      <c r="A63" s="4" cm="1">
        <f t="array" ref="A63">$D$2*(61)/200</f>
        <v>0.1525</v>
      </c>
      <c r="B63" s="4">
        <v>0.020742911693155</v>
      </c>
      <c r="C63" s="4">
        <v>0.00739513296973101</v>
      </c>
      <c r="D63" s="4" cm="1">
        <f t="array" ref="D63">'extras'!$B$3</f>
        <v>0.5</v>
      </c>
      <c r="E63" s="4" cm="1">
        <f t="array" ref="E63">'extras'!$B$6</f>
        <v>0.65</v>
      </c>
      <c r="F63" s="4" cm="1">
        <f t="array" ref="F63">(1-H63)*B63+H63*C63</f>
        <v>0.0200387955095901</v>
      </c>
      <c r="G63" s="4" cm="1">
        <f t="array" ref="G63">IF($D$2=0,0,MAX(0,MIN(1,(A63-'extras'!$E$3*$D$2)/('extras'!$E$4*$D$2))))</f>
        <v>0.175</v>
      </c>
      <c r="H63" s="4" cm="1">
        <f t="array" ref="H63">$E$2*(G63^2*(3-2*G63))</f>
        <v>0.0527515625</v>
      </c>
    </row>
    <row r="64" ht="15.75" customHeight="1">
      <c r="A64" s="4" cm="1">
        <f t="array" ref="A64">$D$2*(62)/200</f>
        <v>0.155</v>
      </c>
      <c r="B64" s="4">
        <v>0.0210198335903118</v>
      </c>
      <c r="C64" s="4">
        <v>0.0076053399815735</v>
      </c>
      <c r="D64" s="4" cm="1">
        <f t="array" ref="D64">'extras'!$B$3</f>
        <v>0.5</v>
      </c>
      <c r="E64" s="4" cm="1">
        <f t="array" ref="E64">'extras'!$B$6</f>
        <v>0.65</v>
      </c>
      <c r="F64" s="4" cm="1">
        <f t="array" ref="F64">(1-H64)*B64+H64*C64</f>
        <v>0.0202480841100909</v>
      </c>
      <c r="G64" s="4" cm="1">
        <f t="array" ref="G64">IF($D$2=0,0,MAX(0,MIN(1,(A64-'extras'!$E$3*$D$2)/('extras'!$E$4*$D$2))))</f>
        <v>0.183333333333333</v>
      </c>
      <c r="H64" s="4" cm="1">
        <f t="array" ref="H64">$E$2*(G64^2*(3-2*G64))</f>
        <v>0.0575310185185183</v>
      </c>
    </row>
    <row r="65" ht="15.75" customHeight="1">
      <c r="A65" s="4" cm="1">
        <f t="array" ref="A65">$D$2*(63)/200</f>
        <v>0.1575</v>
      </c>
      <c r="B65" s="4">
        <v>0.0212947317871359</v>
      </c>
      <c r="C65" s="4">
        <v>0.00781682647631075</v>
      </c>
      <c r="D65" s="4" cm="1">
        <f t="array" ref="D65">'extras'!$B$3</f>
        <v>0.5</v>
      </c>
      <c r="E65" s="4" cm="1">
        <f t="array" ref="E65">'extras'!$B$6</f>
        <v>0.65</v>
      </c>
      <c r="F65" s="4" cm="1">
        <f t="array" ref="F65">(1-H65)*B65+H65*C65</f>
        <v>0.0204526052763061</v>
      </c>
      <c r="G65" s="4" cm="1">
        <f t="array" ref="G65">IF($D$2=0,0,MAX(0,MIN(1,(A65-'extras'!$E$3*$D$2)/('extras'!$E$4*$D$2))))</f>
        <v>0.191666666666667</v>
      </c>
      <c r="H65" s="4" cm="1">
        <f t="array" ref="H65">$E$2*(G65^2*(3-2*G65))</f>
        <v>0.062482002314815</v>
      </c>
    </row>
    <row r="66" ht="15.75" customHeight="1">
      <c r="A66" s="4" cm="1">
        <f t="array" ref="A66">$D$2*(64)/200</f>
        <v>0.16</v>
      </c>
      <c r="B66" s="4">
        <v>0.0215676068174186</v>
      </c>
      <c r="C66" s="4">
        <v>0.00802946515384296</v>
      </c>
      <c r="D66" s="4" cm="1">
        <f t="array" ref="D66">'extras'!$B$3</f>
        <v>0.5</v>
      </c>
      <c r="E66" s="4" cm="1">
        <f t="array" ref="E66">'extras'!$B$6</f>
        <v>0.65</v>
      </c>
      <c r="F66" s="4" cm="1">
        <f t="array" ref="F66">(1-H66)*B66+H66*C66</f>
        <v>0.0206524284409609</v>
      </c>
      <c r="G66" s="4" cm="1">
        <f t="array" ref="G66">IF($D$2=0,0,MAX(0,MIN(1,(A66-'extras'!$E$3*$D$2)/('extras'!$E$4*$D$2))))</f>
        <v>0.2</v>
      </c>
      <c r="H66" s="4" cm="1">
        <f t="array" ref="H66">$E$2*(G66^2*(3-2*G66))</f>
        <v>0.06759999999999999</v>
      </c>
    </row>
    <row r="67" ht="15.75" customHeight="1">
      <c r="A67" s="4" cm="1">
        <f t="array" ref="A67">$D$2*(65)/200</f>
        <v>0.1625</v>
      </c>
      <c r="B67" s="4">
        <v>0.0218384592108372</v>
      </c>
      <c r="C67" s="4">
        <v>0.008243128476120661</v>
      </c>
      <c r="D67" s="4" cm="1">
        <f t="array" ref="D67">'extras'!$B$3</f>
        <v>0.5</v>
      </c>
      <c r="E67" s="4" cm="1">
        <f t="array" ref="E67">'extras'!$B$6</f>
        <v>0.65</v>
      </c>
      <c r="F67" s="4" cm="1">
        <f t="array" ref="F67">(1-H67)*B67+H67*C67</f>
        <v>0.0208476247406964</v>
      </c>
      <c r="G67" s="4" cm="1">
        <f t="array" ref="G67">IF($D$2=0,0,MAX(0,MIN(1,(A67-'extras'!$E$3*$D$2)/('extras'!$E$4*$D$2))))</f>
        <v>0.208333333333333</v>
      </c>
      <c r="H67" s="4" cm="1">
        <f t="array" ref="H67">$E$2*(G67^2*(3-2*G67))</f>
        <v>0.07288049768518499</v>
      </c>
    </row>
    <row r="68" ht="15.75" customHeight="1">
      <c r="A68" s="4" cm="1">
        <f t="array" ref="A68">$D$2*(66)/200</f>
        <v>0.165</v>
      </c>
      <c r="B68" s="4">
        <v>0.022107289492959</v>
      </c>
      <c r="C68" s="4">
        <v>0.008457689034139579</v>
      </c>
      <c r="D68" s="4" cm="1">
        <f t="array" ref="D68">'extras'!$B$3</f>
        <v>0.5</v>
      </c>
      <c r="E68" s="4" cm="1">
        <f t="array" ref="E68">'extras'!$B$6</f>
        <v>0.65</v>
      </c>
      <c r="F68" s="4" cm="1">
        <f t="array" ref="F68">(1-H68)*B68+H68*C68</f>
        <v>0.0210382666873951</v>
      </c>
      <c r="G68" s="4" cm="1">
        <f t="array" ref="G68">IF($D$2=0,0,MAX(0,MIN(1,(A68-'extras'!$E$3*$D$2)/('extras'!$E$4*$D$2))))</f>
        <v>0.216666666666667</v>
      </c>
      <c r="H68" s="4" cm="1">
        <f t="array" ref="H68">$E$2*(G68^2*(3-2*G68))</f>
        <v>0.0783189814814817</v>
      </c>
    </row>
    <row r="69" ht="15.75" customHeight="1">
      <c r="A69" s="4" cm="1">
        <f t="array" ref="A69">$D$2*(67)/200</f>
        <v>0.1675</v>
      </c>
      <c r="B69" s="4">
        <v>0.0223740981852494</v>
      </c>
      <c r="C69" s="4">
        <v>0.008673019921344741</v>
      </c>
      <c r="D69" s="4" cm="1">
        <f t="array" ref="D69">'extras'!$B$3</f>
        <v>0.5</v>
      </c>
      <c r="E69" s="4" cm="1">
        <f t="array" ref="E69">'extras'!$B$6</f>
        <v>0.65</v>
      </c>
      <c r="F69" s="4" cm="1">
        <f t="array" ref="F69">(1-H69)*B69+H69*C69</f>
        <v>0.0212244278633643</v>
      </c>
      <c r="G69" s="4" cm="1">
        <f t="array" ref="G69">IF($D$2=0,0,MAX(0,MIN(1,(A69-'extras'!$E$3*$D$2)/('extras'!$E$4*$D$2))))</f>
        <v>0.225</v>
      </c>
      <c r="H69" s="4" cm="1">
        <f t="array" ref="H69">$E$2*(G69^2*(3-2*G69))</f>
        <v>0.0839109375</v>
      </c>
    </row>
    <row r="70" ht="15.75" customHeight="1">
      <c r="A70" s="4" cm="1">
        <f t="array" ref="A70">$D$2*(68)/200</f>
        <v>0.17</v>
      </c>
      <c r="B70" s="4">
        <v>0.0226388858050734</v>
      </c>
      <c r="C70" s="4">
        <v>0.00888899511182911</v>
      </c>
      <c r="D70" s="4" cm="1">
        <f t="array" ref="D70">'extras'!$B$3</f>
        <v>0.5</v>
      </c>
      <c r="E70" s="4" cm="1">
        <f t="array" ref="E70">'extras'!$B$6</f>
        <v>0.65</v>
      </c>
      <c r="F70" s="4" cm="1">
        <f t="array" ref="F70">(1-H70)*B70+H70*C70</f>
        <v>0.0214061826416635</v>
      </c>
      <c r="G70" s="4" cm="1">
        <f t="array" ref="G70">IF($D$2=0,0,MAX(0,MIN(1,(A70-'extras'!$E$3*$D$2)/('extras'!$E$4*$D$2))))</f>
        <v>0.233333333333333</v>
      </c>
      <c r="H70" s="4" cm="1">
        <f t="array" ref="H70">$E$2*(G70^2*(3-2*G70))</f>
        <v>0.08965185185185159</v>
      </c>
    </row>
    <row r="71" ht="15.75" customHeight="1">
      <c r="A71" s="4" cm="1">
        <f t="array" ref="A71">$D$2*(69)/200</f>
        <v>0.1725</v>
      </c>
      <c r="B71" s="4">
        <v>0.0229016528657033</v>
      </c>
      <c r="C71" s="4">
        <v>0.00910548984165495</v>
      </c>
      <c r="D71" s="4" cm="1">
        <f t="array" ref="D71">'extras'!$B$3</f>
        <v>0.5</v>
      </c>
      <c r="E71" s="4" cm="1">
        <f t="array" ref="E71">'extras'!$B$6</f>
        <v>0.65</v>
      </c>
      <c r="F71" s="4" cm="1">
        <f t="array" ref="F71">(1-H71)*B71+H71*C71</f>
        <v>0.0215836059327386</v>
      </c>
      <c r="G71" s="4" cm="1">
        <f t="array" ref="G71">IF($D$2=0,0,MAX(0,MIN(1,(A71-'extras'!$E$3*$D$2)/('extras'!$E$4*$D$2))))</f>
        <v>0.241666666666667</v>
      </c>
      <c r="H71" s="4" cm="1">
        <f t="array" ref="H71">$E$2*(G71^2*(3-2*G71))</f>
        <v>0.09553721064814839</v>
      </c>
    </row>
    <row r="72" ht="15.75" customHeight="1">
      <c r="A72" s="4" cm="1">
        <f t="array" ref="A72">$D$2*(70)/200</f>
        <v>0.175</v>
      </c>
      <c r="B72" s="4">
        <v>0.0231623998763237</v>
      </c>
      <c r="C72" s="4">
        <v>0.009322380991577429</v>
      </c>
      <c r="D72" s="4" cm="1">
        <f t="array" ref="D72">'extras'!$B$3</f>
        <v>0.5</v>
      </c>
      <c r="E72" s="4" cm="1">
        <f t="array" ref="E72">'extras'!$B$6</f>
        <v>0.65</v>
      </c>
      <c r="F72" s="4" cm="1">
        <f t="array" ref="F72">(1-H72)*B72+H72*C72</f>
        <v>0.0217567729583417</v>
      </c>
      <c r="G72" s="4" cm="1">
        <f t="array" ref="G72">IF($D$2=0,0,MAX(0,MIN(1,(A72-'extras'!$E$3*$D$2)/('extras'!$E$4*$D$2))))</f>
        <v>0.25</v>
      </c>
      <c r="H72" s="4" cm="1">
        <f t="array" ref="H72">$E$2*(G72^2*(3-2*G72))</f>
        <v>0.1015625</v>
      </c>
    </row>
    <row r="73" ht="15.75" customHeight="1">
      <c r="A73" s="4" cm="1">
        <f t="array" ref="A73">$D$2*(71)/200</f>
        <v>0.1775</v>
      </c>
      <c r="B73" s="4">
        <v>0.0234211273420337</v>
      </c>
      <c r="C73" s="4">
        <v>0.00953954746941183</v>
      </c>
      <c r="D73" s="4" cm="1">
        <f t="array" ref="D73">'extras'!$B$3</f>
        <v>0.5</v>
      </c>
      <c r="E73" s="4" cm="1">
        <f t="array" ref="E73">'extras'!$B$6</f>
        <v>0.65</v>
      </c>
      <c r="F73" s="4" cm="1">
        <f t="array" ref="F73">(1-H73)*B73+H73*C73</f>
        <v>0.0219257590535527</v>
      </c>
      <c r="G73" s="4" cm="1">
        <f t="array" ref="G73">IF($D$2=0,0,MAX(0,MIN(1,(A73-'extras'!$E$3*$D$2)/('extras'!$E$4*$D$2))))</f>
        <v>0.258333333333333</v>
      </c>
      <c r="H73" s="4" cm="1">
        <f t="array" ref="H73">$E$2*(G73^2*(3-2*G73))</f>
        <v>0.107723206018518</v>
      </c>
    </row>
    <row r="74" ht="15.75" customHeight="1">
      <c r="A74" s="4" cm="1">
        <f t="array" ref="A74">$D$2*(72)/200</f>
        <v>0.18</v>
      </c>
      <c r="B74" s="4">
        <v>0.0236778357638552</v>
      </c>
      <c r="C74" s="4">
        <v>0.009756870590257779</v>
      </c>
      <c r="D74" s="4" cm="1">
        <f t="array" ref="D74">'extras'!$B$3</f>
        <v>0.5</v>
      </c>
      <c r="E74" s="4" cm="1">
        <f t="array" ref="E74">'extras'!$B$6</f>
        <v>0.65</v>
      </c>
      <c r="F74" s="4" cm="1">
        <f t="array" ref="F74">(1-H74)*B74+H74*C74</f>
        <v>0.022090639497544</v>
      </c>
      <c r="G74" s="4" cm="1">
        <f t="array" ref="G74">IF($D$2=0,0,MAX(0,MIN(1,(A74-'extras'!$E$3*$D$2)/('extras'!$E$4*$D$2))))</f>
        <v>0.266666666666667</v>
      </c>
      <c r="H74" s="4" cm="1">
        <f t="array" ref="H74">$E$2*(G74^2*(3-2*G74))</f>
        <v>0.114014814814815</v>
      </c>
    </row>
    <row r="75" ht="15.75" customHeight="1">
      <c r="A75" s="4" cm="1">
        <f t="array" ref="A75">$D$2*(73)/200</f>
        <v>0.1825</v>
      </c>
      <c r="B75" s="4">
        <v>0.0239325256387364</v>
      </c>
      <c r="C75" s="4">
        <v>0.00997423445277603</v>
      </c>
      <c r="D75" s="4" cm="1">
        <f t="array" ref="D75">'extras'!$B$3</f>
        <v>0.5</v>
      </c>
      <c r="E75" s="4" cm="1">
        <f t="array" ref="E75">'extras'!$B$6</f>
        <v>0.65</v>
      </c>
      <c r="F75" s="4" cm="1">
        <f t="array" ref="F75">(1-H75)*B75+H75*C75</f>
        <v>0.0222514893735172</v>
      </c>
      <c r="G75" s="4" cm="1">
        <f t="array" ref="G75">IF($D$2=0,0,MAX(0,MIN(1,(A75-'extras'!$E$3*$D$2)/('extras'!$E$4*$D$2))))</f>
        <v>0.275</v>
      </c>
      <c r="H75" s="4" cm="1">
        <f t="array" ref="H75">$E$2*(G75^2*(3-2*G75))</f>
        <v>0.1204328125</v>
      </c>
    </row>
    <row r="76" ht="15.75" customHeight="1">
      <c r="A76" s="4" cm="1">
        <f t="array" ref="A76">$D$2*(74)/200</f>
        <v>0.185</v>
      </c>
      <c r="B76" s="4">
        <v>0.0241851974595559</v>
      </c>
      <c r="C76" s="4">
        <v>0.0101915263097072</v>
      </c>
      <c r="D76" s="4" cm="1">
        <f t="array" ref="D76">'extras'!$B$3</f>
        <v>0.5</v>
      </c>
      <c r="E76" s="4" cm="1">
        <f t="array" ref="E76">'extras'!$B$6</f>
        <v>0.65</v>
      </c>
      <c r="F76" s="4" cm="1">
        <f t="array" ref="F76">(1-H76)*B76+H76*C76</f>
        <v>0.0224083834580612</v>
      </c>
      <c r="G76" s="4" cm="1">
        <f t="array" ref="G76">IF($D$2=0,0,MAX(0,MIN(1,(A76-'extras'!$E$3*$D$2)/('extras'!$E$4*$D$2))))</f>
        <v>0.283333333333333</v>
      </c>
      <c r="H76" s="4" cm="1">
        <f t="array" ref="H76">$E$2*(G76^2*(3-2*G76))</f>
        <v>0.126972685185185</v>
      </c>
    </row>
    <row r="77" ht="15.75" customHeight="1">
      <c r="A77" s="4" cm="1">
        <f t="array" ref="A77">$D$2*(75)/200</f>
        <v>0.1875</v>
      </c>
      <c r="B77" s="4">
        <v>0.02443585171513</v>
      </c>
      <c r="C77" s="4">
        <v>0.0104086369308263</v>
      </c>
      <c r="D77" s="4" cm="1">
        <f t="array" ref="D77">'extras'!$B$3</f>
        <v>0.5</v>
      </c>
      <c r="E77" s="4" cm="1">
        <f t="array" ref="E77">'extras'!$B$6</f>
        <v>0.65</v>
      </c>
      <c r="F77" s="4" cm="1">
        <f t="array" ref="F77">(1-H77)*B77+H77*C77</f>
        <v>0.0225613961399677</v>
      </c>
      <c r="G77" s="4" cm="1">
        <f t="array" ref="G77">IF($D$2=0,0,MAX(0,MIN(1,(A77-'extras'!$E$3*$D$2)/('extras'!$E$4*$D$2))))</f>
        <v>0.291666666666667</v>
      </c>
      <c r="H77" s="4" cm="1">
        <f t="array" ref="H77">$E$2*(G77^2*(3-2*G77))</f>
        <v>0.133629918981482</v>
      </c>
    </row>
    <row r="78" ht="15.75" customHeight="1">
      <c r="A78" s="4" cm="1">
        <f t="array" ref="A78">$D$2*(76)/200</f>
        <v>0.19</v>
      </c>
      <c r="B78" s="4">
        <v>0.0246844888902142</v>
      </c>
      <c r="C78" s="4">
        <v>0.0106254609565425</v>
      </c>
      <c r="D78" s="4" cm="1">
        <f t="array" ref="D78">'extras'!$B$3</f>
        <v>0.5</v>
      </c>
      <c r="E78" s="4" cm="1">
        <f t="array" ref="E78">'extras'!$B$6</f>
        <v>0.65</v>
      </c>
      <c r="F78" s="4" cm="1">
        <f t="array" ref="F78">(1-H78)*B78+H78*C78</f>
        <v>0.0227106013683267</v>
      </c>
      <c r="G78" s="4" cm="1">
        <f t="array" ref="G78">IF($D$2=0,0,MAX(0,MIN(1,(A78-'extras'!$E$3*$D$2)/('extras'!$E$4*$D$2))))</f>
        <v>0.3</v>
      </c>
      <c r="H78" s="4" cm="1">
        <f t="array" ref="H78">$E$2*(G78^2*(3-2*G78))</f>
        <v>0.1404</v>
      </c>
    </row>
    <row r="79" ht="15.75" customHeight="1">
      <c r="A79" s="4" cm="1">
        <f t="array" ref="A79">$D$2*(77)/200</f>
        <v>0.1925</v>
      </c>
      <c r="B79" s="4">
        <v>0.0249311094655105</v>
      </c>
      <c r="C79" s="4">
        <v>0.0108418972403815</v>
      </c>
      <c r="D79" s="4" cm="1">
        <f t="array" ref="D79">'extras'!$B$3</f>
        <v>0.5</v>
      </c>
      <c r="E79" s="4" cm="1">
        <f t="array" ref="E79">'extras'!$B$6</f>
        <v>0.65</v>
      </c>
      <c r="F79" s="4" cm="1">
        <f t="array" ref="F79">(1-H79)*B79+H79*C79</f>
        <v>0.0228560726295268</v>
      </c>
      <c r="G79" s="4" cm="1">
        <f t="array" ref="G79">IF($D$2=0,0,MAX(0,MIN(1,(A79-'extras'!$E$3*$D$2)/('extras'!$E$4*$D$2))))</f>
        <v>0.308333333333333</v>
      </c>
      <c r="H79" s="4" cm="1">
        <f t="array" ref="H79">$E$2*(G79^2*(3-2*G79))</f>
        <v>0.147278414351852</v>
      </c>
    </row>
    <row r="80" ht="15.75" customHeight="1">
      <c r="A80" s="4" cm="1">
        <f t="array" ref="A80">$D$2*(78)/200</f>
        <v>0.195</v>
      </c>
      <c r="B80" s="4">
        <v>0.0251757139176707</v>
      </c>
      <c r="C80" s="4">
        <v>0.0110578491786261</v>
      </c>
      <c r="D80" s="4" cm="1">
        <f t="array" ref="D80">'extras'!$B$3</f>
        <v>0.5</v>
      </c>
      <c r="E80" s="4" cm="1">
        <f t="array" ref="E80">'extras'!$B$6</f>
        <v>0.65</v>
      </c>
      <c r="F80" s="4" cm="1">
        <f t="array" ref="F80">(1-H80)*B80+H80*C80</f>
        <v>0.0229978829525578</v>
      </c>
      <c r="G80" s="4" cm="1">
        <f t="array" ref="G80">IF($D$2=0,0,MAX(0,MIN(1,(A80-'extras'!$E$3*$D$2)/('extras'!$E$4*$D$2))))</f>
        <v>0.316666666666667</v>
      </c>
      <c r="H80" s="4" cm="1">
        <f t="array" ref="H80">$E$2*(G80^2*(3-2*G80))</f>
        <v>0.154260648148148</v>
      </c>
    </row>
    <row r="81" ht="15.75" customHeight="1">
      <c r="A81" s="4" cm="1">
        <f t="array" ref="A81">$D$2*(79)/200</f>
        <v>0.1975</v>
      </c>
      <c r="B81" s="4">
        <v>0.0254183027193027</v>
      </c>
      <c r="C81" s="4">
        <v>0.0112732250254392</v>
      </c>
      <c r="D81" s="4" cm="1">
        <f t="array" ref="D81">'extras'!$B$3</f>
        <v>0.5</v>
      </c>
      <c r="E81" s="4" cm="1">
        <f t="array" ref="E81">'extras'!$B$6</f>
        <v>0.65</v>
      </c>
      <c r="F81" s="4" cm="1">
        <f t="array" ref="F81">(1-H81)*B81+H81*C81</f>
        <v>0.0231361049418173</v>
      </c>
      <c r="G81" s="4" cm="1">
        <f t="array" ref="G81">IF($D$2=0,0,MAX(0,MIN(1,(A81-'extras'!$E$3*$D$2)/('extras'!$E$4*$D$2))))</f>
        <v>0.325</v>
      </c>
      <c r="H81" s="4" cm="1">
        <f t="array" ref="H81">$E$2*(G81^2*(3-2*G81))</f>
        <v>0.1613421875</v>
      </c>
    </row>
    <row r="82" ht="15.75" customHeight="1">
      <c r="A82" s="4" cm="1">
        <f t="array" ref="A82">$D$2*(80)/200</f>
        <v>0.2</v>
      </c>
      <c r="B82" s="4">
        <v>0.0256588763389729</v>
      </c>
      <c r="C82" s="4">
        <v>0.0114879381918559</v>
      </c>
      <c r="D82" s="4" cm="1">
        <f t="array" ref="D82">'extras'!$B$3</f>
        <v>0.5</v>
      </c>
      <c r="E82" s="4" cm="1">
        <f t="array" ref="E82">'extras'!$B$6</f>
        <v>0.65</v>
      </c>
      <c r="F82" s="4" cm="1">
        <f t="array" ref="F82">(1-H82)*B82+H82*C82</f>
        <v>0.0232708108364032</v>
      </c>
      <c r="G82" s="4" cm="1">
        <f t="array" ref="G82">IF($D$2=0,0,MAX(0,MIN(1,(A82-'extras'!$E$3*$D$2)/('extras'!$E$4*$D$2))))</f>
        <v>0.333333333333333</v>
      </c>
      <c r="H82" s="4" cm="1">
        <f t="array" ref="H82">$E$2*(G82^2*(3-2*G82))</f>
        <v>0.168518518518518</v>
      </c>
    </row>
    <row r="83" ht="15.75" customHeight="1">
      <c r="A83" s="4" cm="1">
        <f t="array" ref="A83">$D$2*(81)/200</f>
        <v>0.2025</v>
      </c>
      <c r="B83" s="4">
        <v>0.0258974352412125</v>
      </c>
      <c r="C83" s="4">
        <v>0.011701907527102</v>
      </c>
      <c r="D83" s="4" cm="1">
        <f t="array" ref="D83">'extras'!$B$3</f>
        <v>0.5</v>
      </c>
      <c r="E83" s="4" cm="1">
        <f t="array" ref="E83">'extras'!$B$6</f>
        <v>0.65</v>
      </c>
      <c r="F83" s="4" cm="1">
        <f t="array" ref="F83">(1-H83)*B83+H83*C83</f>
        <v>0.0234020725946866</v>
      </c>
      <c r="G83" s="4" cm="1">
        <f t="array" ref="G83">IF($D$2=0,0,MAX(0,MIN(1,(A83-'extras'!$E$3*$D$2)/('extras'!$E$4*$D$2))))</f>
        <v>0.341666666666667</v>
      </c>
      <c r="H83" s="4" cm="1">
        <f t="array" ref="H83">$E$2*(G83^2*(3-2*G83))</f>
        <v>0.175785127314815</v>
      </c>
    </row>
    <row r="84" ht="15.75" customHeight="1">
      <c r="A84" s="4" cm="1">
        <f t="array" ref="A84">$D$2*(82)/200</f>
        <v>0.205</v>
      </c>
      <c r="B84" s="4">
        <v>0.0261339798865205</v>
      </c>
      <c r="C84" s="4">
        <v>0.0119150575807758</v>
      </c>
      <c r="D84" s="4" cm="1">
        <f t="array" ref="D84">'extras'!$B$3</f>
        <v>0.5</v>
      </c>
      <c r="E84" s="4" cm="1">
        <f t="array" ref="E84">'extras'!$B$6</f>
        <v>0.65</v>
      </c>
      <c r="F84" s="4" cm="1">
        <f t="array" ref="F84">(1-H84)*B84+H84*C84</f>
        <v>0.0235299620027522</v>
      </c>
      <c r="G84" s="4" cm="1">
        <f t="array" ref="G84">IF($D$2=0,0,MAX(0,MIN(1,(A84-'extras'!$E$3*$D$2)/('extras'!$E$4*$D$2))))</f>
        <v>0.35</v>
      </c>
      <c r="H84" s="4" cm="1">
        <f t="array" ref="H84">$E$2*(G84^2*(3-2*G84))</f>
        <v>0.1831375</v>
      </c>
    </row>
    <row r="85" ht="15.75" customHeight="1">
      <c r="A85" s="4" cm="1">
        <f t="array" ref="A85">$D$2*(83)/200</f>
        <v>0.2075</v>
      </c>
      <c r="B85" s="4">
        <v>0.0263685107313707</v>
      </c>
      <c r="C85" s="4">
        <v>0.012127318844525</v>
      </c>
      <c r="D85" s="4" cm="1">
        <f t="array" ref="D85">'extras'!$B$3</f>
        <v>0.5</v>
      </c>
      <c r="E85" s="4" cm="1">
        <f t="array" ref="E85">'extras'!$B$6</f>
        <v>0.65</v>
      </c>
      <c r="F85" s="4" cm="1">
        <f t="array" ref="F85">(1-H85)*B85+H85*C85</f>
        <v>0.0236545508051194</v>
      </c>
      <c r="G85" s="4" cm="1">
        <f t="array" ref="G85">IF($D$2=0,0,MAX(0,MIN(1,(A85-'extras'!$E$3*$D$2)/('extras'!$E$4*$D$2))))</f>
        <v>0.358333333333333</v>
      </c>
      <c r="H85" s="4" cm="1">
        <f t="array" ref="H85">$E$2*(G85^2*(3-2*G85))</f>
        <v>0.190571122685185</v>
      </c>
    </row>
    <row r="86" ht="15.75" customHeight="1">
      <c r="A86" s="4" cm="1">
        <f t="array" ref="A86">$D$2*(84)/200</f>
        <v>0.21</v>
      </c>
      <c r="B86" s="4">
        <v>0.026601028228213</v>
      </c>
      <c r="C86" s="4">
        <v>0.012338627971948</v>
      </c>
      <c r="D86" s="4" cm="1">
        <f t="array" ref="D86">'extras'!$B$3</f>
        <v>0.5</v>
      </c>
      <c r="E86" s="4" cm="1">
        <f t="array" ref="E86">'extras'!$B$6</f>
        <v>0.65</v>
      </c>
      <c r="F86" s="4" cm="1">
        <f t="array" ref="F86">(1-H86)*B86+H86*C86</f>
        <v>0.0237759108559702</v>
      </c>
      <c r="G86" s="4" cm="1">
        <f t="array" ref="G86">IF($D$2=0,0,MAX(0,MIN(1,(A86-'extras'!$E$3*$D$2)/('extras'!$E$4*$D$2))))</f>
        <v>0.366666666666667</v>
      </c>
      <c r="H86" s="4" cm="1">
        <f t="array" ref="H86">$E$2*(G86^2*(3-2*G86))</f>
        <v>0.198081481481482</v>
      </c>
    </row>
    <row r="87" ht="15.75" customHeight="1">
      <c r="A87" s="4" cm="1">
        <f t="array" ref="A87">$D$2*(85)/200</f>
        <v>0.2125</v>
      </c>
      <c r="B87" s="4">
        <v>0.0268315328254811</v>
      </c>
      <c r="C87" s="4">
        <v>0.0125489279755589</v>
      </c>
      <c r="D87" s="4" cm="1">
        <f t="array" ref="D87">'extras'!$B$3</f>
        <v>0.5</v>
      </c>
      <c r="E87" s="4" cm="1">
        <f t="array" ref="E87">'extras'!$B$6</f>
        <v>0.65</v>
      </c>
      <c r="F87" s="4" cm="1">
        <f t="array" ref="F87">(1-H87)*B87+H87*C87</f>
        <v>0.0238941142889639</v>
      </c>
      <c r="G87" s="4" cm="1">
        <f t="array" ref="G87">IF($D$2=0,0,MAX(0,MIN(1,(A87-'extras'!$E$3*$D$2)/('extras'!$E$4*$D$2))))</f>
        <v>0.375</v>
      </c>
      <c r="H87" s="4" cm="1">
        <f t="array" ref="H87">$E$2*(G87^2*(3-2*G87))</f>
        <v>0.2056640625</v>
      </c>
    </row>
    <row r="88" ht="15.75" customHeight="1">
      <c r="A88" s="4" cm="1">
        <f t="array" ref="A88">$D$2*(86)/200</f>
        <v>0.215</v>
      </c>
      <c r="B88" s="4">
        <v>0.0270600249675934</v>
      </c>
      <c r="C88" s="4">
        <v>0.0127581683997726</v>
      </c>
      <c r="D88" s="4" cm="1">
        <f t="array" ref="D88">'extras'!$B$3</f>
        <v>0.5</v>
      </c>
      <c r="E88" s="4" cm="1">
        <f t="array" ref="E88">'extras'!$B$6</f>
        <v>0.65</v>
      </c>
      <c r="F88" s="4" cm="1">
        <f t="array" ref="F88">(1-H88)*B88+H88*C88</f>
        <v>0.0240092337035506</v>
      </c>
      <c r="G88" s="4" cm="1">
        <f t="array" ref="G88">IF($D$2=0,0,MAX(0,MIN(1,(A88-'extras'!$E$3*$D$2)/('extras'!$E$4*$D$2))))</f>
        <v>0.383333333333333</v>
      </c>
      <c r="H88" s="4" cm="1">
        <f t="array" ref="H88">$E$2*(G88^2*(3-2*G88))</f>
        <v>0.213314351851852</v>
      </c>
    </row>
    <row r="89" ht="15.75" customHeight="1">
      <c r="A89" s="4" cm="1">
        <f t="array" ref="A89">$D$2*(87)/200</f>
        <v>0.2175</v>
      </c>
      <c r="B89" s="4">
        <v>0.0272865050949602</v>
      </c>
      <c r="C89" s="4">
        <v>0.0129663054689921</v>
      </c>
      <c r="D89" s="4" cm="1">
        <f t="array" ref="D89">'extras'!$B$3</f>
        <v>0.5</v>
      </c>
      <c r="E89" s="4" cm="1">
        <f t="array" ref="E89">'extras'!$B$6</f>
        <v>0.65</v>
      </c>
      <c r="F89" s="4" cm="1">
        <f t="array" ref="F89">(1-H89)*B89+H89*C89</f>
        <v>0.0241213423655831</v>
      </c>
      <c r="G89" s="4" cm="1">
        <f t="array" ref="G89">IF($D$2=0,0,MAX(0,MIN(1,(A89-'extras'!$E$3*$D$2)/('extras'!$E$4*$D$2))))</f>
        <v>0.391666666666667</v>
      </c>
      <c r="H89" s="4" cm="1">
        <f t="array" ref="H89">$E$2*(G89^2*(3-2*G89))</f>
        <v>0.221027835648148</v>
      </c>
    </row>
    <row r="90" ht="15.75" customHeight="1">
      <c r="A90" s="4" cm="1">
        <f t="array" ref="A90">$D$2*(88)/200</f>
        <v>0.22</v>
      </c>
      <c r="B90" s="4">
        <v>0.0275109736439871</v>
      </c>
      <c r="C90" s="4">
        <v>0.0131733022100065</v>
      </c>
      <c r="D90" s="4" cm="1">
        <f t="array" ref="D90">'extras'!$B$3</f>
        <v>0.5</v>
      </c>
      <c r="E90" s="4" cm="1">
        <f t="array" ref="E90">'extras'!$B$6</f>
        <v>0.65</v>
      </c>
      <c r="F90" s="4" cm="1">
        <f t="array" ref="F90">(1-H90)*B90+H90*C90</f>
        <v>0.0242305144198923</v>
      </c>
      <c r="G90" s="4" cm="1">
        <f t="array" ref="G90">IF($D$2=0,0,MAX(0,MIN(1,(A90-'extras'!$E$3*$D$2)/('extras'!$E$4*$D$2))))</f>
        <v>0.4</v>
      </c>
      <c r="H90" s="4" cm="1">
        <f t="array" ref="H90">$E$2*(G90^2*(3-2*G90))</f>
        <v>0.2288</v>
      </c>
    </row>
    <row r="91" ht="15.75" customHeight="1">
      <c r="A91" s="4" cm="1">
        <f t="array" ref="A91">$D$2*(89)/200</f>
        <v>0.2225</v>
      </c>
      <c r="B91" s="4">
        <v>0.0277334310470785</v>
      </c>
      <c r="C91" s="4">
        <v>0.0133791285480487</v>
      </c>
      <c r="D91" s="4" cm="1">
        <f t="array" ref="D91">'extras'!$B$3</f>
        <v>0.5</v>
      </c>
      <c r="E91" s="4" cm="1">
        <f t="array" ref="E91">'extras'!$B$6</f>
        <v>0.65</v>
      </c>
      <c r="F91" s="4" cm="1">
        <f t="array" ref="F91">(1-H91)*B91+H91*C91</f>
        <v>0.0243368251124031</v>
      </c>
      <c r="G91" s="4" cm="1">
        <f t="array" ref="G91">IF($D$2=0,0,MAX(0,MIN(1,(A91-'extras'!$E$3*$D$2)/('extras'!$E$4*$D$2))))</f>
        <v>0.408333333333333</v>
      </c>
      <c r="H91" s="4" cm="1">
        <f t="array" ref="H91">$E$2*(G91^2*(3-2*G91))</f>
        <v>0.236626331018518</v>
      </c>
    </row>
    <row r="92" ht="15.75" customHeight="1">
      <c r="A92" s="4" cm="1">
        <f t="array" ref="A92">$D$2*(90)/200</f>
        <v>0.225</v>
      </c>
      <c r="B92" s="4">
        <v>0.0279538777326422</v>
      </c>
      <c r="C92" s="4">
        <v>0.0135837613759988</v>
      </c>
      <c r="D92" s="4" cm="1">
        <f t="array" ref="D92">'extras'!$B$3</f>
        <v>0.5</v>
      </c>
      <c r="E92" s="4" cm="1">
        <f t="array" ref="E92">'extras'!$B$6</f>
        <v>0.65</v>
      </c>
      <c r="F92" s="4" cm="1">
        <f t="array" ref="F92">(1-H92)*B92+H92*C92</f>
        <v>0.0244403510192847</v>
      </c>
      <c r="G92" s="4" cm="1">
        <f t="array" ref="G92">IF($D$2=0,0,MAX(0,MIN(1,(A92-'extras'!$E$3*$D$2)/('extras'!$E$4*$D$2))))</f>
        <v>0.416666666666667</v>
      </c>
      <c r="H92" s="4" cm="1">
        <f t="array" ref="H92">$E$2*(G92^2*(3-2*G92))</f>
        <v>0.244502314814815</v>
      </c>
    </row>
    <row r="93" ht="15.75" customHeight="1">
      <c r="A93" s="4" cm="1">
        <f t="array" ref="A93">$D$2*(91)/200</f>
        <v>0.2275</v>
      </c>
      <c r="B93" s="4">
        <v>0.0281723141250949</v>
      </c>
      <c r="C93" s="4">
        <v>0.0137871845963649</v>
      </c>
      <c r="D93" s="4" cm="1">
        <f t="array" ref="D93">'extras'!$B$3</f>
        <v>0.5</v>
      </c>
      <c r="E93" s="4" cm="1">
        <f t="array" ref="E93">'extras'!$B$6</f>
        <v>0.65</v>
      </c>
      <c r="F93" s="4" cm="1">
        <f t="array" ref="F93">(1-H93)*B93+H93*C93</f>
        <v>0.0245411702805701</v>
      </c>
      <c r="G93" s="4" cm="1">
        <f t="array" ref="G93">IF($D$2=0,0,MAX(0,MIN(1,(A93-'extras'!$E$3*$D$2)/('extras'!$E$4*$D$2))))</f>
        <v>0.425</v>
      </c>
      <c r="H93" s="4" cm="1">
        <f t="array" ref="H93">$E$2*(G93^2*(3-2*G93))</f>
        <v>0.2524234375</v>
      </c>
    </row>
    <row r="94" ht="15.75" customHeight="1">
      <c r="A94" s="4" cm="1">
        <f t="array" ref="A94">$D$2*(92)/200</f>
        <v>0.23</v>
      </c>
      <c r="B94" s="4">
        <v>0.0283887406448628</v>
      </c>
      <c r="C94" s="4">
        <v>0.0139893891358197</v>
      </c>
      <c r="D94" s="4" cm="1">
        <f t="array" ref="D94">'extras'!$B$3</f>
        <v>0.5</v>
      </c>
      <c r="E94" s="4" cm="1">
        <f t="array" ref="E94">'extras'!$B$6</f>
        <v>0.65</v>
      </c>
      <c r="F94" s="4" cm="1">
        <f t="array" ref="F94">(1-H94)*B94+H94*C94</f>
        <v>0.024639362835634</v>
      </c>
      <c r="G94" s="4" cm="1">
        <f t="array" ref="G94">IF($D$2=0,0,MAX(0,MIN(1,(A94-'extras'!$E$3*$D$2)/('extras'!$E$4*$D$2))))</f>
        <v>0.433333333333333</v>
      </c>
      <c r="H94" s="4" cm="1">
        <f t="array" ref="H94">$E$2*(G94^2*(3-2*G94))</f>
        <v>0.260385185185185</v>
      </c>
    </row>
    <row r="95" ht="15.75" customHeight="1">
      <c r="A95" s="4" cm="1">
        <f t="array" ref="A95">$D$2*(93)/200</f>
        <v>0.2325</v>
      </c>
      <c r="B95" s="4">
        <v>0.0286031577083912</v>
      </c>
      <c r="C95" s="4">
        <v>0.0141903729322166</v>
      </c>
      <c r="D95" s="4" cm="1">
        <f t="array" ref="D95">'extras'!$B$3</f>
        <v>0.5</v>
      </c>
      <c r="E95" s="4" cm="1">
        <f t="array" ref="E95">'extras'!$B$6</f>
        <v>0.65</v>
      </c>
      <c r="F95" s="4" cm="1">
        <f t="array" ref="F95">(1-H95)*B95+H95*C95</f>
        <v>0.0247350106579115</v>
      </c>
      <c r="G95" s="4" cm="1">
        <f t="array" ref="G95">IF($D$2=0,0,MAX(0,MIN(1,(A95-'extras'!$E$3*$D$2)/('extras'!$E$4*$D$2))))</f>
        <v>0.441666666666667</v>
      </c>
      <c r="H95" s="4" cm="1">
        <f t="array" ref="H95">$E$2*(G95^2*(3-2*G95))</f>
        <v>0.268383043981482</v>
      </c>
    </row>
    <row r="96" ht="15.75" customHeight="1">
      <c r="A96" s="4" cm="1">
        <f t="array" ref="A96">$D$2*(94)/200</f>
        <v>0.235</v>
      </c>
      <c r="B96" s="4">
        <v>0.0288155657281428</v>
      </c>
      <c r="C96" s="4">
        <v>0.0143901408941614</v>
      </c>
      <c r="D96" s="4" cm="1">
        <f t="array" ref="D96">'extras'!$B$3</f>
        <v>0.5</v>
      </c>
      <c r="E96" s="4" cm="1">
        <f t="array" ref="E96">'extras'!$B$6</f>
        <v>0.65</v>
      </c>
      <c r="F96" s="4" cm="1">
        <f t="array" ref="F96">(1-H96)*B96+H96*C96</f>
        <v>0.0248281979862199</v>
      </c>
      <c r="G96" s="4" cm="1">
        <f t="array" ref="G96">IF($D$2=0,0,MAX(0,MIN(1,(A96-'extras'!$E$3*$D$2)/('extras'!$E$4*$D$2))))</f>
        <v>0.45</v>
      </c>
      <c r="H96" s="4" cm="1">
        <f t="array" ref="H96">$E$2*(G96^2*(3-2*G96))</f>
        <v>0.2764125</v>
      </c>
    </row>
    <row r="97" ht="15.75" customHeight="1">
      <c r="A97" s="4" cm="1">
        <f t="array" ref="A97">$D$2*(95)/200</f>
        <v>0.2375</v>
      </c>
      <c r="B97" s="4">
        <v>0.0290259651126061</v>
      </c>
      <c r="C97" s="4">
        <v>0.0145887048333612</v>
      </c>
      <c r="D97" s="4" cm="1">
        <f t="array" ref="D97">'extras'!$B$3</f>
        <v>0.5</v>
      </c>
      <c r="E97" s="4" cm="1">
        <f t="array" ref="E97">'extras'!$B$6</f>
        <v>0.65</v>
      </c>
      <c r="F97" s="4" cm="1">
        <f t="array" ref="F97">(1-H97)*B97+H97*C97</f>
        <v>0.0249190115500967</v>
      </c>
      <c r="G97" s="4" cm="1">
        <f t="array" ref="G97">IF($D$2=0,0,MAX(0,MIN(1,(A97-'extras'!$E$3*$D$2)/('extras'!$E$4*$D$2))))</f>
        <v>0.458333333333333</v>
      </c>
      <c r="H97" s="4" cm="1">
        <f t="array" ref="H97">$E$2*(G97^2*(3-2*G97))</f>
        <v>0.284469039351851</v>
      </c>
    </row>
    <row r="98" ht="15.75" customHeight="1">
      <c r="A98" s="4" cm="1">
        <f t="array" ref="A98">$D$2*(96)/200</f>
        <v>0.24</v>
      </c>
      <c r="B98" s="4">
        <v>0.0292343562662958</v>
      </c>
      <c r="C98" s="4">
        <v>0.0147860833701192</v>
      </c>
      <c r="D98" s="4" cm="1">
        <f t="array" ref="D98">'extras'!$B$3</f>
        <v>0.5</v>
      </c>
      <c r="E98" s="4" cm="1">
        <f t="array" ref="E98">'extras'!$B$6</f>
        <v>0.65</v>
      </c>
      <c r="F98" s="4" cm="1">
        <f t="array" ref="F98">(1-H98)*B98+H98*C98</f>
        <v>0.0250075407865803</v>
      </c>
      <c r="G98" s="4" cm="1">
        <f t="array" ref="G98">IF($D$2=0,0,MAX(0,MIN(1,(A98-'extras'!$E$3*$D$2)/('extras'!$E$4*$D$2))))</f>
        <v>0.466666666666667</v>
      </c>
      <c r="H98" s="4" cm="1">
        <f t="array" ref="H98">$E$2*(G98^2*(3-2*G98))</f>
        <v>0.292548148148148</v>
      </c>
    </row>
    <row r="99" ht="15.75" customHeight="1">
      <c r="A99" s="4" cm="1">
        <f t="array" ref="A99">$D$2*(97)/200</f>
        <v>0.2425</v>
      </c>
      <c r="B99" s="4">
        <v>0.0294407395897598</v>
      </c>
      <c r="C99" s="4">
        <v>0.0149823018124874</v>
      </c>
      <c r="D99" s="4" cm="1">
        <f t="array" ref="D99">'extras'!$B$3</f>
        <v>0.5</v>
      </c>
      <c r="E99" s="4" cm="1">
        <f t="array" ref="E99">'extras'!$B$6</f>
        <v>0.65</v>
      </c>
      <c r="F99" s="4" cm="1">
        <f t="array" ref="F99">(1-H99)*B99+H99*C99</f>
        <v>0.0250938780459499</v>
      </c>
      <c r="G99" s="4" cm="1">
        <f t="array" ref="G99">IF($D$2=0,0,MAX(0,MIN(1,(A99-'extras'!$E$3*$D$2)/('extras'!$E$4*$D$2))))</f>
        <v>0.475</v>
      </c>
      <c r="H99" s="4" cm="1">
        <f t="array" ref="H99">$E$2*(G99^2*(3-2*G99))</f>
        <v>0.3006453125</v>
      </c>
    </row>
    <row r="100" ht="15.75" customHeight="1">
      <c r="A100" s="4" cm="1">
        <f t="array" ref="A100">$D$2*(98)/200</f>
        <v>0.245</v>
      </c>
      <c r="B100" s="4">
        <v>0.0296451154795818</v>
      </c>
      <c r="C100" s="4">
        <v>0.0151773920097318</v>
      </c>
      <c r="D100" s="4" cm="1">
        <f t="array" ref="D100">'extras'!$B$3</f>
        <v>0.5</v>
      </c>
      <c r="E100" s="4" cm="1">
        <f t="array" ref="E100">'extras'!$B$6</f>
        <v>0.65</v>
      </c>
      <c r="F100" s="4" cm="1">
        <f t="array" ref="F100">(1-H100)*B100+H100*C100</f>
        <v>0.025178118784004</v>
      </c>
      <c r="G100" s="4" cm="1">
        <f t="array" ref="G100">IF($D$2=0,0,MAX(0,MIN(1,(A100-'extras'!$E$3*$D$2)/('extras'!$E$4*$D$2))))</f>
        <v>0.483333333333333</v>
      </c>
      <c r="H100" s="4" cm="1">
        <f t="array" ref="H100">$E$2*(G100^2*(3-2*G100))</f>
        <v>0.308756018518518</v>
      </c>
    </row>
    <row r="101" ht="15.75" customHeight="1">
      <c r="A101" s="4" cm="1">
        <f t="array" ref="A101">$D$2*(99)/200</f>
        <v>0.2475</v>
      </c>
      <c r="B101" s="4">
        <v>0.0298474843283842</v>
      </c>
      <c r="C101" s="4">
        <v>0.0153713921808972</v>
      </c>
      <c r="D101" s="4" cm="1">
        <f t="array" ref="D101">'extras'!$B$3</f>
        <v>0.5</v>
      </c>
      <c r="E101" s="4" cm="1">
        <f t="array" ref="E101">'extras'!$B$6</f>
        <v>0.65</v>
      </c>
      <c r="F101" s="4" cm="1">
        <f t="array" ref="F101">(1-H101)*B101+H101*C101</f>
        <v>0.0252603617385707</v>
      </c>
      <c r="G101" s="4" cm="1">
        <f t="array" ref="G101">IF($D$2=0,0,MAX(0,MIN(1,(A101-'extras'!$E$3*$D$2)/('extras'!$E$4*$D$2))))</f>
        <v>0.491666666666667</v>
      </c>
      <c r="H101" s="4" cm="1">
        <f t="array" ref="H101">$E$2*(G101^2*(3-2*G101))</f>
        <v>0.316875752314815</v>
      </c>
    </row>
    <row r="102" ht="15.75" customHeight="1">
      <c r="A102" s="4" cm="1">
        <f t="array" ref="A102">$D$2*(100)/200</f>
        <v>0.25</v>
      </c>
      <c r="B102" s="4">
        <v>0.0300478465248344</v>
      </c>
      <c r="C102" s="4">
        <v>0.0155643467193919</v>
      </c>
      <c r="D102" s="4" cm="1">
        <f t="array" ref="D102">'extras'!$B$3</f>
        <v>0.5</v>
      </c>
      <c r="E102" s="4" cm="1">
        <f t="array" ref="E102">'extras'!$B$6</f>
        <v>0.65</v>
      </c>
      <c r="F102" s="4" cm="1">
        <f t="array" ref="F102">(1-H102)*B102+H102*C102</f>
        <v>0.0253407090880656</v>
      </c>
      <c r="G102" s="4" cm="1">
        <f t="array" ref="G102">IF($D$2=0,0,MAX(0,MIN(1,(A102-'extras'!$E$3*$D$2)/('extras'!$E$4*$D$2))))</f>
        <v>0.5</v>
      </c>
      <c r="H102" s="4" cm="1">
        <f t="array" ref="H102">$E$2*(G102^2*(3-2*G102))</f>
        <v>0.325</v>
      </c>
    </row>
    <row r="103" ht="15.75" customHeight="1">
      <c r="A103" s="4" cm="1">
        <f t="array" ref="A103">$D$2*(101)/200</f>
        <v>0.2525</v>
      </c>
      <c r="B103" s="4">
        <v>0.030246202453645</v>
      </c>
      <c r="C103" s="4">
        <v>0.0157563059746364</v>
      </c>
      <c r="D103" s="4" cm="1">
        <f t="array" ref="D103">'extras'!$B$3</f>
        <v>0.5</v>
      </c>
      <c r="E103" s="4" cm="1">
        <f t="array" ref="E103">'extras'!$B$6</f>
        <v>0.65</v>
      </c>
      <c r="F103" s="4" cm="1">
        <f t="array" ref="F103">(1-H103)*B103+H103*C103</f>
        <v>0.025419266590039</v>
      </c>
      <c r="G103" s="4" cm="1">
        <f t="array" ref="G103">IF($D$2=0,0,MAX(0,MIN(1,(A103-'extras'!$E$3*$D$2)/('extras'!$E$4*$D$2))))</f>
        <v>0.508333333333333</v>
      </c>
      <c r="H103" s="4" cm="1">
        <f t="array" ref="H103">$E$2*(G103^2*(3-2*G103))</f>
        <v>0.333124247685185</v>
      </c>
    </row>
    <row r="104" ht="15.75" customHeight="1">
      <c r="A104" s="4" cm="1">
        <f t="array" ref="A104">$D$2*(102)/200</f>
        <v>0.255</v>
      </c>
      <c r="B104" s="4">
        <v>0.0304425524955807</v>
      </c>
      <c r="C104" s="4">
        <v>0.0159473260119345</v>
      </c>
      <c r="D104" s="4" cm="1">
        <f t="array" ref="D104">'extras'!$B$3</f>
        <v>0.5</v>
      </c>
      <c r="E104" s="4" cm="1">
        <f t="array" ref="E104">'extras'!$B$6</f>
        <v>0.65</v>
      </c>
      <c r="F104" s="4" cm="1">
        <f t="array" ref="F104">(1-H104)*B104+H104*C104</f>
        <v>0.0254961436978254</v>
      </c>
      <c r="G104" s="4" cm="1">
        <f t="array" ref="G104">IF($D$2=0,0,MAX(0,MIN(1,(A104-'extras'!$E$3*$D$2)/('extras'!$E$4*$D$2))))</f>
        <v>0.5166666666666671</v>
      </c>
      <c r="H104" s="4" cm="1">
        <f t="array" ref="H104">$E$2*(G104^2*(3-2*G104))</f>
        <v>0.341243981481482</v>
      </c>
    </row>
    <row r="105" ht="15.75" customHeight="1">
      <c r="A105" s="4" cm="1">
        <f t="array" ref="A105">$D$2*(103)/200</f>
        <v>0.2575</v>
      </c>
      <c r="B105" s="4">
        <v>0.0306368970274606</v>
      </c>
      <c r="C105" s="4">
        <v>0.0161374683518384</v>
      </c>
      <c r="D105" s="4" cm="1">
        <f t="array" ref="D105">'extras'!$B$3</f>
        <v>0.5</v>
      </c>
      <c r="E105" s="4" cm="1">
        <f t="array" ref="E105">'extras'!$B$6</f>
        <v>0.65</v>
      </c>
      <c r="F105" s="4" cm="1">
        <f t="array" ref="F105">(1-H105)*B105+H105*C105</f>
        <v>0.0255714536535601</v>
      </c>
      <c r="G105" s="4" cm="1">
        <f t="array" ref="G105">IF($D$2=0,0,MAX(0,MIN(1,(A105-'extras'!$E$3*$D$2)/('extras'!$E$4*$D$2))))</f>
        <v>0.525</v>
      </c>
      <c r="H105" s="4" cm="1">
        <f t="array" ref="H105">$E$2*(G105^2*(3-2*G105))</f>
        <v>0.3493546875</v>
      </c>
    </row>
    <row r="106" ht="15.75" customHeight="1">
      <c r="A106" s="4" cm="1">
        <f t="array" ref="A106">$D$2*(104)/200</f>
        <v>0.26</v>
      </c>
      <c r="B106" s="4">
        <v>0.0308292364221621</v>
      </c>
      <c r="C106" s="4">
        <v>0.0163267996903774</v>
      </c>
      <c r="D106" s="4" cm="1">
        <f t="array" ref="D106">'extras'!$B$3</f>
        <v>0.5</v>
      </c>
      <c r="E106" s="4" cm="1">
        <f t="array" ref="E106">'extras'!$B$6</f>
        <v>0.65</v>
      </c>
      <c r="F106" s="4" cm="1">
        <f t="array" ref="F106">(1-H106)*B106+H106*C106</f>
        <v>0.0256453135560214</v>
      </c>
      <c r="G106" s="4" cm="1">
        <f t="array" ref="G106">IF($D$2=0,0,MAX(0,MIN(1,(A106-'extras'!$E$3*$D$2)/('extras'!$E$4*$D$2))))</f>
        <v>0.533333333333333</v>
      </c>
      <c r="H106" s="4" cm="1">
        <f t="array" ref="H106">$E$2*(G106^2*(3-2*G106))</f>
        <v>0.357451851851851</v>
      </c>
    </row>
    <row r="107" ht="15.75" customHeight="1">
      <c r="A107" s="4" cm="1">
        <f t="array" ref="A107">$D$2*(105)/200</f>
        <v>0.2625</v>
      </c>
      <c r="B107" s="4">
        <v>0.031019571048625</v>
      </c>
      <c r="C107" s="4">
        <v>0.0165153916016104</v>
      </c>
      <c r="D107" s="4" cm="1">
        <f t="array" ref="D107">'extras'!$B$3</f>
        <v>0.5</v>
      </c>
      <c r="E107" s="4" cm="1">
        <f t="array" ref="E107">'extras'!$B$6</f>
        <v>0.65</v>
      </c>
      <c r="F107" s="4" cm="1">
        <f t="array" ref="F107">(1-H107)*B107+H107*C107</f>
        <v>0.0257178444019446</v>
      </c>
      <c r="G107" s="4" cm="1">
        <f t="array" ref="G107">IF($D$2=0,0,MAX(0,MIN(1,(A107-'extras'!$E$3*$D$2)/('extras'!$E$4*$D$2))))</f>
        <v>0.541666666666667</v>
      </c>
      <c r="H107" s="4" cm="1">
        <f t="array" ref="H107">$E$2*(G107^2*(3-2*G107))</f>
        <v>0.365530960648148</v>
      </c>
    </row>
    <row r="108" ht="15.75" customHeight="1">
      <c r="A108" s="4" cm="1">
        <f t="array" ref="A108">$D$2*(106)/200</f>
        <v>0.265</v>
      </c>
      <c r="B108" s="4">
        <v>0.0312079012718529</v>
      </c>
      <c r="C108" s="4">
        <v>0.0167033202240471</v>
      </c>
      <c r="D108" s="4" cm="1">
        <f t="array" ref="D108">'extras'!$B$3</f>
        <v>0.5</v>
      </c>
      <c r="E108" s="4" cm="1">
        <f t="array" ref="E108">'extras'!$B$6</f>
        <v>0.65</v>
      </c>
      <c r="F108" s="4" cm="1">
        <f t="array" ref="F108">(1-H108)*B108+H108*C108</f>
        <v>0.0257891710996558</v>
      </c>
      <c r="G108" s="4" cm="1">
        <f t="array" ref="G108">IF($D$2=0,0,MAX(0,MIN(1,(A108-'extras'!$E$3*$D$2)/('extras'!$E$4*$D$2))))</f>
        <v>0.55</v>
      </c>
      <c r="H108" s="4" cm="1">
        <f t="array" ref="H108">$E$2*(G108^2*(3-2*G108))</f>
        <v>0.3735875</v>
      </c>
    </row>
    <row r="109" ht="15.75" customHeight="1">
      <c r="A109" s="4" cm="1">
        <f t="array" ref="A109">$D$2*(107)/200</f>
        <v>0.2675</v>
      </c>
      <c r="B109" s="4">
        <v>0.0313942274529202</v>
      </c>
      <c r="C109" s="4">
        <v>0.0168906659325497</v>
      </c>
      <c r="D109" s="4" cm="1">
        <f t="array" ref="D109">'extras'!$B$3</f>
        <v>0.5</v>
      </c>
      <c r="E109" s="4" cm="1">
        <f t="array" ref="E109">'extras'!$B$6</f>
        <v>0.65</v>
      </c>
      <c r="F109" s="4" cm="1">
        <f t="array" ref="F109">(1-H109)*B109+H109*C109</f>
        <v>0.0258594224540891</v>
      </c>
      <c r="G109" s="4" cm="1">
        <f t="array" ref="G109">IF($D$2=0,0,MAX(0,MIN(1,(A109-'extras'!$E$3*$D$2)/('extras'!$E$4*$D$2))))</f>
        <v>0.558333333333333</v>
      </c>
      <c r="H109" s="4" cm="1">
        <f t="array" ref="H109">$E$2*(G109^2*(3-2*G109))</f>
        <v>0.381616956018518</v>
      </c>
    </row>
    <row r="110" ht="15.75" customHeight="1">
      <c r="A110" s="4" cm="1">
        <f t="array" ref="A110">$D$2*(108)/200</f>
        <v>0.27</v>
      </c>
      <c r="B110" s="4">
        <v>0.0315785499489731</v>
      </c>
      <c r="C110" s="4">
        <v>0.0170775129973923</v>
      </c>
      <c r="D110" s="4" cm="1">
        <f t="array" ref="D110">'extras'!$B$3</f>
        <v>0.5</v>
      </c>
      <c r="E110" s="4" cm="1">
        <f t="array" ref="E110">'extras'!$B$6</f>
        <v>0.65</v>
      </c>
      <c r="F110" s="4" cm="1">
        <f t="array" ref="F110">(1-H110)*B110+H110*C110</f>
        <v>0.0259287311224602</v>
      </c>
      <c r="G110" s="4" cm="1">
        <f t="array" ref="G110">IF($D$2=0,0,MAX(0,MIN(1,(A110-'extras'!$E$3*$D$2)/('extras'!$E$4*$D$2))))</f>
        <v>0.566666666666667</v>
      </c>
      <c r="H110" s="4" cm="1">
        <f t="array" ref="H110">$E$2*(G110^2*(3-2*G110))</f>
        <v>0.389614814814815</v>
      </c>
    </row>
    <row r="111" ht="15.75" customHeight="1">
      <c r="A111" s="4" cm="1">
        <f t="array" ref="A111">$D$2*(109)/200</f>
        <v>0.2725</v>
      </c>
      <c r="B111" s="4">
        <v>0.0317608691132323</v>
      </c>
      <c r="C111" s="4">
        <v>0.0172639492322002</v>
      </c>
      <c r="D111" s="4" cm="1">
        <f t="array" ref="D111">'extras'!$B$3</f>
        <v>0.5</v>
      </c>
      <c r="E111" s="4" cm="1">
        <f t="array" ref="E111">'extras'!$B$6</f>
        <v>0.65</v>
      </c>
      <c r="F111" s="4" cm="1">
        <f t="array" ref="F111">(1-H111)*B111+H111*C111</f>
        <v>0.0259972335400936</v>
      </c>
      <c r="G111" s="4" cm="1">
        <f t="array" ref="G111">IF($D$2=0,0,MAX(0,MIN(1,(A111-'extras'!$E$3*$D$2)/('extras'!$E$4*$D$2))))</f>
        <v>0.575</v>
      </c>
      <c r="H111" s="4" cm="1">
        <f t="array" ref="H111">$E$2*(G111^2*(3-2*G111))</f>
        <v>0.3975765625</v>
      </c>
    </row>
    <row r="112" ht="15.75" customHeight="1">
      <c r="A112" s="4" cm="1">
        <f t="array" ref="A112">$D$2*(110)/200</f>
        <v>0.275</v>
      </c>
      <c r="B112" s="4">
        <v>0.031941185295</v>
      </c>
      <c r="C112" s="4">
        <v>0.0174500656325338</v>
      </c>
      <c r="D112" s="4" cm="1">
        <f t="array" ref="D112">'extras'!$B$3</f>
        <v>0.5</v>
      </c>
      <c r="E112" s="4" cm="1">
        <f t="array" ref="E112">'extras'!$B$6</f>
        <v>0.65</v>
      </c>
      <c r="F112" s="4" cm="1">
        <f t="array" ref="F112">(1-H112)*B112+H112*C112</f>
        <v>0.0260650698161284</v>
      </c>
      <c r="G112" s="4" cm="1">
        <f t="array" ref="G112">IF($D$2=0,0,MAX(0,MIN(1,(A112-'extras'!$E$3*$D$2)/('extras'!$E$4*$D$2))))</f>
        <v>0.583333333333333</v>
      </c>
      <c r="H112" s="4" cm="1">
        <f t="array" ref="H112">$E$2*(G112^2*(3-2*G112))</f>
        <v>0.405497685185185</v>
      </c>
    </row>
    <row r="113" ht="15.75" customHeight="1">
      <c r="A113" s="4" cm="1">
        <f t="array" ref="A113">$D$2*(111)/200</f>
        <v>0.2775</v>
      </c>
      <c r="B113" s="4">
        <v>0.03211949883966</v>
      </c>
      <c r="C113" s="4">
        <v>0.0176359560069058</v>
      </c>
      <c r="D113" s="4" cm="1">
        <f t="array" ref="D113">'extras'!$B$3</f>
        <v>0.5</v>
      </c>
      <c r="E113" s="4" cm="1">
        <f t="array" ref="E113">'extras'!$B$6</f>
        <v>0.65</v>
      </c>
      <c r="F113" s="4" cm="1">
        <f t="array" ref="F113">(1-H113)*B113+H113*C113</f>
        <v>0.0261323835990339</v>
      </c>
      <c r="G113" s="4" cm="1">
        <f t="array" ref="G113">IF($D$2=0,0,MAX(0,MIN(1,(A113-'extras'!$E$3*$D$2)/('extras'!$E$4*$D$2))))</f>
        <v>0.591666666666667</v>
      </c>
      <c r="H113" s="4" cm="1">
        <f t="array" ref="H113">$E$2*(G113^2*(3-2*G113))</f>
        <v>0.413373668981482</v>
      </c>
    </row>
    <row r="114" ht="15.75" customHeight="1">
      <c r="A114" s="4" cm="1">
        <f t="array" ref="A114">$D$2*(112)/200</f>
        <v>0.28</v>
      </c>
      <c r="B114" s="4">
        <v>0.0322958100886823</v>
      </c>
      <c r="C114" s="4">
        <v>0.0178217166020393</v>
      </c>
      <c r="D114" s="4" cm="1">
        <f t="array" ref="D114">'extras'!$B$3</f>
        <v>0.5</v>
      </c>
      <c r="E114" s="4" cm="1">
        <f t="array" ref="E114">'extras'!$B$6</f>
        <v>0.65</v>
      </c>
      <c r="F114" s="4" cm="1">
        <f t="array" ref="F114">(1-H114)*B114+H114*C114</f>
        <v>0.0261993219121083</v>
      </c>
      <c r="G114" s="4" cm="1">
        <f t="array" ref="G114">IF($D$2=0,0,MAX(0,MIN(1,(A114-'extras'!$E$3*$D$2)/('extras'!$E$4*$D$2))))</f>
        <v>0.6</v>
      </c>
      <c r="H114" s="4" cm="1">
        <f t="array" ref="H114">$E$2*(G114^2*(3-2*G114))</f>
        <v>0.4212</v>
      </c>
    </row>
    <row r="115" ht="15.75" customHeight="1">
      <c r="A115" s="4" cm="1">
        <f t="array" ref="A115">$D$2*(113)/200</f>
        <v>0.2825</v>
      </c>
      <c r="B115" s="4">
        <v>0.0324701193796253</v>
      </c>
      <c r="C115" s="4">
        <v>0.0180074457241758</v>
      </c>
      <c r="D115" s="4" cm="1">
        <f t="array" ref="D115">'extras'!$B$3</f>
        <v>0.5</v>
      </c>
      <c r="E115" s="4" cm="1">
        <f t="array" ref="E115">'extras'!$B$6</f>
        <v>0.65</v>
      </c>
      <c r="F115" s="4" cm="1">
        <f t="array" ref="F115">(1-H115)*B115+H115*C115</f>
        <v>0.0262660349593326</v>
      </c>
      <c r="G115" s="4" cm="1">
        <f t="array" ref="G115">IF($D$2=0,0,MAX(0,MIN(1,(A115-'extras'!$E$3*$D$2)/('extras'!$E$4*$D$2))))</f>
        <v>0.6083333333333329</v>
      </c>
      <c r="H115" s="4" cm="1">
        <f t="array" ref="H115">$E$2*(G115^2*(3-2*G115))</f>
        <v>0.428972164351851</v>
      </c>
    </row>
    <row r="116" ht="15.75" customHeight="1">
      <c r="A116" s="4" cm="1">
        <f t="array" ref="A116">$D$2*(114)/200</f>
        <v>0.285</v>
      </c>
      <c r="B116" s="4">
        <v>0.0326424270461416</v>
      </c>
      <c r="C116" s="4">
        <v>0.018193243358239</v>
      </c>
      <c r="D116" s="4" cm="1">
        <f t="array" ref="D116">'extras'!$B$3</f>
        <v>0.5</v>
      </c>
      <c r="E116" s="4" cm="1">
        <f t="array" ref="E116">'extras'!$B$6</f>
        <v>0.65</v>
      </c>
      <c r="F116" s="4" cm="1">
        <f t="array" ref="F116">(1-H116)*B116+H116*C116</f>
        <v>0.0263326759021782</v>
      </c>
      <c r="G116" s="4" cm="1">
        <f t="array" ref="G116">IF($D$2=0,0,MAX(0,MIN(1,(A116-'extras'!$E$3*$D$2)/('extras'!$E$4*$D$2))))</f>
        <v>0.616666666666667</v>
      </c>
      <c r="H116" s="4" cm="1">
        <f t="array" ref="H116">$E$2*(G116^2*(3-2*G116))</f>
        <v>0.436685648148148</v>
      </c>
    </row>
    <row r="117" ht="15.75" customHeight="1">
      <c r="A117" s="4" cm="1">
        <f t="array" ref="A117">$D$2*(115)/200</f>
        <v>0.2875</v>
      </c>
      <c r="B117" s="4">
        <v>0.0328127334179778</v>
      </c>
      <c r="C117" s="4">
        <v>0.0183792107866392</v>
      </c>
      <c r="D117" s="4" cm="1">
        <f t="array" ref="D117">'extras'!$B$3</f>
        <v>0.5</v>
      </c>
      <c r="E117" s="4" cm="1">
        <f t="array" ref="E117">'extras'!$B$6</f>
        <v>0.65</v>
      </c>
      <c r="F117" s="4" cm="1">
        <f t="array" ref="F117">(1-H117)*B117+H117*C117</f>
        <v>0.0263994006081545</v>
      </c>
      <c r="G117" s="4" cm="1">
        <f t="array" ref="G117">IF($D$2=0,0,MAX(0,MIN(1,(A117-'extras'!$E$3*$D$2)/('extras'!$E$4*$D$2))))</f>
        <v>0.625</v>
      </c>
      <c r="H117" s="4" cm="1">
        <f t="array" ref="H117">$E$2*(G117^2*(3-2*G117))</f>
        <v>0.4443359375</v>
      </c>
    </row>
    <row r="118" ht="15.75" customHeight="1">
      <c r="A118" s="4" cm="1">
        <f t="array" ref="A118">$D$2*(116)/200</f>
        <v>0.29</v>
      </c>
      <c r="B118" s="4">
        <v>0.0329810388209806</v>
      </c>
      <c r="C118" s="4">
        <v>0.0185654502094784</v>
      </c>
      <c r="D118" s="4" cm="1">
        <f t="array" ref="D118">'extras'!$B$3</f>
        <v>0.5</v>
      </c>
      <c r="E118" s="4" cm="1">
        <f t="array" ref="E118">'extras'!$B$6</f>
        <v>0.65</v>
      </c>
      <c r="F118" s="4" cm="1">
        <f t="array" ref="F118">(1-H118)*B118+H118*C118</f>
        <v>0.0264663673720981</v>
      </c>
      <c r="G118" s="4" cm="1">
        <f t="array" ref="G118">IF($D$2=0,0,MAX(0,MIN(1,(A118-'extras'!$E$3*$D$2)/('extras'!$E$4*$D$2))))</f>
        <v>0.633333333333333</v>
      </c>
      <c r="H118" s="4" cm="1">
        <f t="array" ref="H118">$E$2*(G118^2*(3-2*G118))</f>
        <v>0.451918518518518</v>
      </c>
    </row>
    <row r="119" ht="15.75" customHeight="1">
      <c r="A119" s="4" cm="1">
        <f t="array" ref="A119">$D$2*(117)/200</f>
        <v>0.2925</v>
      </c>
      <c r="B119" s="4">
        <v>0.0331473435770988</v>
      </c>
      <c r="C119" s="4">
        <v>0.018752064367876</v>
      </c>
      <c r="D119" s="4" cm="1">
        <f t="array" ref="D119">'extras'!$B$3</f>
        <v>0.5</v>
      </c>
      <c r="E119" s="4" cm="1">
        <f t="array" ref="E119">'extras'!$B$6</f>
        <v>0.65</v>
      </c>
      <c r="F119" s="4" cm="1">
        <f t="array" ref="F119">(1-H119)*B119+H119*C119</f>
        <v>0.0265337366113723</v>
      </c>
      <c r="G119" s="4" cm="1">
        <f t="array" ref="G119">IF($D$2=0,0,MAX(0,MIN(1,(A119-'extras'!$E$3*$D$2)/('extras'!$E$4*$D$2))))</f>
        <v>0.6416666666666671</v>
      </c>
      <c r="H119" s="4" cm="1">
        <f t="array" ref="H119">$E$2*(G119^2*(3-2*G119))</f>
        <v>0.459428877314815</v>
      </c>
    </row>
    <row r="120" ht="15.75" customHeight="1">
      <c r="A120" s="4" cm="1">
        <f t="array" ref="A120">$D$2*(118)/200</f>
        <v>0.295</v>
      </c>
      <c r="B120" s="4">
        <v>0.0333116480043851</v>
      </c>
      <c r="C120" s="4">
        <v>0.0189391561720859</v>
      </c>
      <c r="D120" s="4" cm="1">
        <f t="array" ref="D120">'extras'!$B$3</f>
        <v>0.5</v>
      </c>
      <c r="E120" s="4" cm="1">
        <f t="array" ref="E120">'extras'!$B$6</f>
        <v>0.65</v>
      </c>
      <c r="F120" s="4" cm="1">
        <f t="array" ref="F120">(1-H120)*B120+H120*C120</f>
        <v>0.0266016705363283</v>
      </c>
      <c r="G120" s="4" cm="1">
        <f t="array" ref="G120">IF($D$2=0,0,MAX(0,MIN(1,(A120-'extras'!$E$3*$D$2)/('extras'!$E$4*$D$2))))</f>
        <v>0.65</v>
      </c>
      <c r="H120" s="4" cm="1">
        <f t="array" ref="H120">$E$2*(G120^2*(3-2*G120))</f>
        <v>0.4668625</v>
      </c>
    </row>
    <row r="121" ht="15.75" customHeight="1">
      <c r="A121" s="4" cm="1">
        <f t="array" ref="A121">$D$2*(119)/200</f>
        <v>0.2975</v>
      </c>
      <c r="B121" s="4">
        <v>0.0334739524170025</v>
      </c>
      <c r="C121" s="4">
        <v>0.0191268283360208</v>
      </c>
      <c r="D121" s="4" cm="1">
        <f t="array" ref="D121">'extras'!$B$3</f>
        <v>0.5</v>
      </c>
      <c r="E121" s="4" cm="1">
        <f t="array" ref="E121">'extras'!$B$6</f>
        <v>0.65</v>
      </c>
      <c r="F121" s="4" cm="1">
        <f t="array" ref="F121">(1-H121)*B121+H121*C121</f>
        <v>0.0266703327975412</v>
      </c>
      <c r="G121" s="4" cm="1">
        <f t="array" ref="G121">IF($D$2=0,0,MAX(0,MIN(1,(A121-'extras'!$E$3*$D$2)/('extras'!$E$4*$D$2))))</f>
        <v>0.658333333333333</v>
      </c>
      <c r="H121" s="4" cm="1">
        <f t="array" ref="H121">$E$2*(G121^2*(3-2*G121))</f>
        <v>0.474214872685185</v>
      </c>
    </row>
    <row r="122" ht="15.75" customHeight="1">
      <c r="A122" s="4" cm="1">
        <f t="array" ref="A122">$D$2*(120)/200</f>
        <v>0.3</v>
      </c>
      <c r="B122" s="4">
        <v>0.033634257125223</v>
      </c>
      <c r="C122" s="4">
        <v>0.0193151830197319</v>
      </c>
      <c r="D122" s="4" cm="1">
        <f t="array" ref="D122">'extras'!$B$3</f>
        <v>0.5</v>
      </c>
      <c r="E122" s="4" cm="1">
        <f t="array" ref="E122">'extras'!$B$6</f>
        <v>0.65</v>
      </c>
      <c r="F122" s="4" cm="1">
        <f t="array" ref="F122">(1-H122)*B122+H122*C122</f>
        <v>0.026739888111468</v>
      </c>
      <c r="G122" s="4" cm="1">
        <f t="array" ref="G122">IF($D$2=0,0,MAX(0,MIN(1,(A122-'extras'!$E$3*$D$2)/('extras'!$E$4*$D$2))))</f>
        <v>0.666666666666667</v>
      </c>
      <c r="H122" s="4" cm="1">
        <f t="array" ref="H122">$E$2*(G122^2*(3-2*G122))</f>
        <v>0.481481481481482</v>
      </c>
    </row>
    <row r="123" ht="15.75" customHeight="1">
      <c r="A123" s="4" cm="1">
        <f t="array" ref="A123">$D$2*(121)/200</f>
        <v>0.3025</v>
      </c>
      <c r="B123" s="4">
        <v>0.0337925624354347</v>
      </c>
      <c r="C123" s="4">
        <v>0.0195043214813167</v>
      </c>
      <c r="D123" s="4" cm="1">
        <f t="array" ref="D123">'extras'!$B$3</f>
        <v>0.5</v>
      </c>
      <c r="E123" s="4" cm="1">
        <f t="array" ref="E123">'extras'!$B$6</f>
        <v>0.65</v>
      </c>
      <c r="F123" s="4" cm="1">
        <f t="array" ref="F123">(1-H123)*B123+H123*C123</f>
        <v>0.0268105018663225</v>
      </c>
      <c r="G123" s="4" cm="1">
        <f t="array" ref="G123">IF($D$2=0,0,MAX(0,MIN(1,(A123-'extras'!$E$3*$D$2)/('extras'!$E$4*$D$2))))</f>
        <v>0.675</v>
      </c>
      <c r="H123" s="4" cm="1">
        <f t="array" ref="H123">$E$2*(G123^2*(3-2*G123))</f>
        <v>0.4886578125</v>
      </c>
    </row>
    <row r="124" ht="15.75" customHeight="1">
      <c r="A124" s="4" cm="1">
        <f t="array" ref="A124">$D$2*(122)/200</f>
        <v>0.305</v>
      </c>
      <c r="B124" s="4">
        <v>0.0339488686501412</v>
      </c>
      <c r="C124" s="4">
        <v>0.0196943437396478</v>
      </c>
      <c r="D124" s="4" cm="1">
        <f t="array" ref="D124">'extras'!$B$3</f>
        <v>0.5</v>
      </c>
      <c r="E124" s="4" cm="1">
        <f t="array" ref="E124">'extras'!$B$6</f>
        <v>0.65</v>
      </c>
      <c r="F124" s="4" cm="1">
        <f t="array" ref="F124">(1-H124)*B124+H124*C124</f>
        <v>0.0268823397100571</v>
      </c>
      <c r="G124" s="4" cm="1">
        <f t="array" ref="G124">IF($D$2=0,0,MAX(0,MIN(1,(A124-'extras'!$E$3*$D$2)/('extras'!$E$4*$D$2))))</f>
        <v>0.683333333333333</v>
      </c>
      <c r="H124" s="4" cm="1">
        <f t="array" ref="H124">$E$2*(G124^2*(3-2*G124))</f>
        <v>0.495739351851852</v>
      </c>
    </row>
    <row r="125" ht="15.75" customHeight="1">
      <c r="A125" s="4" cm="1">
        <f t="array" ref="A125">$D$2*(123)/200</f>
        <v>0.3075</v>
      </c>
      <c r="B125" s="4">
        <v>0.0341031760679678</v>
      </c>
      <c r="C125" s="4">
        <v>0.0198853482492265</v>
      </c>
      <c r="D125" s="4" cm="1">
        <f t="array" ref="D125">'extras'!$B$3</f>
        <v>0.5</v>
      </c>
      <c r="E125" s="4" cm="1">
        <f t="array" ref="E125">'extras'!$B$6</f>
        <v>0.65</v>
      </c>
      <c r="F125" s="4" cm="1">
        <f t="array" ref="F125">(1-H125)*B125+H125*C125</f>
        <v>0.0269555671224578</v>
      </c>
      <c r="G125" s="4" cm="1">
        <f t="array" ref="G125">IF($D$2=0,0,MAX(0,MIN(1,(A125-'extras'!$E$3*$D$2)/('extras'!$E$4*$D$2))))</f>
        <v>0.691666666666667</v>
      </c>
      <c r="H125" s="4" cm="1">
        <f t="array" ref="H125">$E$2*(G125^2*(3-2*G125))</f>
        <v>0.502721585648148</v>
      </c>
    </row>
    <row r="126" ht="15.75" customHeight="1">
      <c r="A126" s="4" cm="1">
        <f t="array" ref="A126">$D$2*(124)/200</f>
        <v>0.31</v>
      </c>
      <c r="B126" s="4">
        <v>0.0342554849836612</v>
      </c>
      <c r="C126" s="4">
        <v>0.0200774315883699</v>
      </c>
      <c r="D126" s="4" cm="1">
        <f t="array" ref="D126">'extras'!$B$3</f>
        <v>0.5</v>
      </c>
      <c r="E126" s="4" cm="1">
        <f t="array" ref="E126">'extras'!$B$6</f>
        <v>0.65</v>
      </c>
      <c r="F126" s="4" cm="1">
        <f t="array" ref="F126">(1-H126)*B126+H126*C126</f>
        <v>0.0270303489734208</v>
      </c>
      <c r="G126" s="4" cm="1">
        <f t="array" ref="G126">IF($D$2=0,0,MAX(0,MIN(1,(A126-'extras'!$E$3*$D$2)/('extras'!$E$4*$D$2))))</f>
        <v>0.7</v>
      </c>
      <c r="H126" s="4" cm="1">
        <f t="array" ref="H126">$E$2*(G126^2*(3-2*G126))</f>
        <v>0.5096000000000001</v>
      </c>
    </row>
    <row r="127" ht="15.75" customHeight="1">
      <c r="A127" s="4" cm="1">
        <f t="array" ref="A127">$D$2*(125)/200</f>
        <v>0.3125</v>
      </c>
      <c r="B127" s="4">
        <v>0.034405795688095</v>
      </c>
      <c r="C127" s="4">
        <v>0.0202706881618407</v>
      </c>
      <c r="D127" s="4" cm="1">
        <f t="array" ref="D127">'extras'!$B$3</f>
        <v>0.5</v>
      </c>
      <c r="E127" s="4" cm="1">
        <f t="array" ref="E127">'extras'!$B$6</f>
        <v>0.65</v>
      </c>
      <c r="F127" s="4" cm="1">
        <f t="array" ref="F127">(1-H127)*B127+H127*C127</f>
        <v>0.0271068490695576</v>
      </c>
      <c r="G127" s="4" cm="1">
        <f t="array" ref="G127">IF($D$2=0,0,MAX(0,MIN(1,(A127-'extras'!$E$3*$D$2)/('extras'!$E$4*$D$2))))</f>
        <v>0.708333333333333</v>
      </c>
      <c r="H127" s="4" cm="1">
        <f t="array" ref="H127">$E$2*(G127^2*(3-2*G127))</f>
        <v>0.516370081018518</v>
      </c>
    </row>
    <row r="128" ht="15.75" customHeight="1">
      <c r="A128" s="4" cm="1">
        <f t="array" ref="A128">$D$2*(126)/200</f>
        <v>0.315</v>
      </c>
      <c r="B128" s="4">
        <v>0.0345541084682712</v>
      </c>
      <c r="C128" s="4">
        <v>0.0204652099189253</v>
      </c>
      <c r="D128" s="4" cm="1">
        <f t="array" ref="D128">'extras'!$B$3</f>
        <v>0.5</v>
      </c>
      <c r="E128" s="4" cm="1">
        <f t="array" ref="E128">'extras'!$B$6</f>
        <v>0.65</v>
      </c>
      <c r="F128" s="4" cm="1">
        <f t="array" ref="F128">(1-H128)*B128+H128*C128</f>
        <v>0.0271852296913085</v>
      </c>
      <c r="G128" s="4" cm="1">
        <f t="array" ref="G128">IF($D$2=0,0,MAX(0,MIN(1,(A128-'extras'!$E$3*$D$2)/('extras'!$E$4*$D$2))))</f>
        <v>0.716666666666667</v>
      </c>
      <c r="H128" s="4" cm="1">
        <f t="array" ref="H128">$E$2*(G128^2*(3-2*G128))</f>
        <v>0.523027314814815</v>
      </c>
    </row>
    <row r="129" ht="15.75" customHeight="1">
      <c r="A129" s="4" cm="1">
        <f t="array" ref="A129">$D$2*(127)/200</f>
        <v>0.3175</v>
      </c>
      <c r="B129" s="4">
        <v>0.0347004236073225</v>
      </c>
      <c r="C129" s="4">
        <v>0.0206610860878593</v>
      </c>
      <c r="D129" s="4" cm="1">
        <f t="array" ref="D129">'extras'!$B$3</f>
        <v>0.5</v>
      </c>
      <c r="E129" s="4" cm="1">
        <f t="array" ref="E129">'extras'!$B$6</f>
        <v>0.65</v>
      </c>
      <c r="F129" s="4" cm="1">
        <f t="array" ref="F129">(1-H129)*B129+H129*C129</f>
        <v>0.0272656511227771</v>
      </c>
      <c r="G129" s="4" cm="1">
        <f t="array" ref="G129">IF($D$2=0,0,MAX(0,MIN(1,(A129-'extras'!$E$3*$D$2)/('extras'!$E$4*$D$2))))</f>
        <v>0.725</v>
      </c>
      <c r="H129" s="4" cm="1">
        <f t="array" ref="H129">$E$2*(G129^2*(3-2*G129))</f>
        <v>0.5295671875</v>
      </c>
    </row>
    <row r="130" ht="15.75" customHeight="1">
      <c r="A130" s="4" cm="1">
        <f t="array" ref="A130">$D$2*(128)/200</f>
        <v>0.32</v>
      </c>
      <c r="B130" s="4">
        <v>0.0348447413845161</v>
      </c>
      <c r="C130" s="4">
        <v>0.0208584029273861</v>
      </c>
      <c r="D130" s="4" cm="1">
        <f t="array" ref="D130">'extras'!$B$3</f>
        <v>0.5</v>
      </c>
      <c r="E130" s="4" cm="1">
        <f t="array" ref="E130">'extras'!$B$6</f>
        <v>0.65</v>
      </c>
      <c r="F130" s="4" cm="1">
        <f t="array" ref="F130">(1-H130)*B130+H130*C130</f>
        <v>0.0273482711765086</v>
      </c>
      <c r="G130" s="4" cm="1">
        <f t="array" ref="G130">IF($D$2=0,0,MAX(0,MIN(1,(A130-'extras'!$E$3*$D$2)/('extras'!$E$4*$D$2))))</f>
        <v>0.7333333333333329</v>
      </c>
      <c r="H130" s="4" cm="1">
        <f t="array" ref="H130">$E$2*(G130^2*(3-2*G130))</f>
        <v>0.535985185185185</v>
      </c>
    </row>
    <row r="131" ht="15.75" customHeight="1">
      <c r="A131" s="4" cm="1">
        <f t="array" ref="A131">$D$2*(129)/200</f>
        <v>0.3225</v>
      </c>
      <c r="B131" s="4">
        <v>0.0349870620752566</v>
      </c>
      <c r="C131" s="4">
        <v>0.0210572434961252</v>
      </c>
      <c r="D131" s="4" cm="1">
        <f t="array" ref="D131">'extras'!$B$3</f>
        <v>0.5</v>
      </c>
      <c r="E131" s="4" cm="1">
        <f t="array" ref="E131">'extras'!$B$6</f>
        <v>0.65</v>
      </c>
      <c r="F131" s="4" cm="1">
        <f t="array" ref="F131">(1-H131)*B131+H131*C131</f>
        <v>0.0274332447154215</v>
      </c>
      <c r="G131" s="4" cm="1">
        <f t="array" ref="G131">IF($D$2=0,0,MAX(0,MIN(1,(A131-'extras'!$E$3*$D$2)/('extras'!$E$4*$D$2))))</f>
        <v>0.741666666666667</v>
      </c>
      <c r="H131" s="4" cm="1">
        <f t="array" ref="H131">$E$2*(G131^2*(3-2*G131))</f>
        <v>0.542276793981482</v>
      </c>
    </row>
    <row r="132" ht="15.75" customHeight="1">
      <c r="A132" s="4" cm="1">
        <f t="array" ref="A132">$D$2*(130)/200</f>
        <v>0.325</v>
      </c>
      <c r="B132" s="4">
        <v>0.0351273859510859</v>
      </c>
      <c r="C132" s="4">
        <v>0.0212576874403126</v>
      </c>
      <c r="D132" s="4" cm="1">
        <f t="array" ref="D132">'extras'!$B$3</f>
        <v>0.5</v>
      </c>
      <c r="E132" s="4" cm="1">
        <f t="array" ref="E132">'extras'!$B$6</f>
        <v>0.65</v>
      </c>
      <c r="F132" s="4" cm="1">
        <f t="array" ref="F132">(1-H132)*B132+H132*C132</f>
        <v>0.0275207231740837</v>
      </c>
      <c r="G132" s="4" cm="1">
        <f t="array" ref="G132">IF($D$2=0,0,MAX(0,MIN(1,(A132-'extras'!$E$3*$D$2)/('extras'!$E$4*$D$2))))</f>
        <v>0.75</v>
      </c>
      <c r="H132" s="4" cm="1">
        <f t="array" ref="H132">$E$2*(G132^2*(3-2*G132))</f>
        <v>0.5484375</v>
      </c>
    </row>
    <row r="133" ht="15.75" customHeight="1">
      <c r="A133" s="4" cm="1">
        <f t="array" ref="A133">$D$2*(131)/200</f>
        <v>0.3275</v>
      </c>
      <c r="B133" s="4">
        <v>0.0352657132796903</v>
      </c>
      <c r="C133" s="4">
        <v>0.0214598108003611</v>
      </c>
      <c r="D133" s="4" cm="1">
        <f t="array" ref="D133">'extras'!$B$3</f>
        <v>0.5</v>
      </c>
      <c r="E133" s="4" cm="1">
        <f t="array" ref="E133">'extras'!$B$6</f>
        <v>0.65</v>
      </c>
      <c r="F133" s="4" cm="1">
        <f t="array" ref="F133">(1-H133)*B133+H133*C133</f>
        <v>0.0276108540814818</v>
      </c>
      <c r="G133" s="4" cm="1">
        <f t="array" ref="G133">IF($D$2=0,0,MAX(0,MIN(1,(A133-'extras'!$E$3*$D$2)/('extras'!$E$4*$D$2))))</f>
        <v>0.758333333333333</v>
      </c>
      <c r="H133" s="4" cm="1">
        <f t="array" ref="H133">$E$2*(G133^2*(3-2*G133))</f>
        <v>0.554462789351852</v>
      </c>
    </row>
    <row r="134" ht="15.75" customHeight="1">
      <c r="A134" s="4" cm="1">
        <f t="array" ref="A134">$D$2*(132)/200</f>
        <v>0.33</v>
      </c>
      <c r="B134" s="4">
        <v>0.0354020443248984</v>
      </c>
      <c r="C134" s="4">
        <v>0.0216636858365776</v>
      </c>
      <c r="D134" s="4" cm="1">
        <f t="array" ref="D134">'extras'!$B$3</f>
        <v>0.5</v>
      </c>
      <c r="E134" s="4" cm="1">
        <f t="array" ref="E134">'extras'!$B$6</f>
        <v>0.65</v>
      </c>
      <c r="F134" s="4" cm="1">
        <f t="array" ref="F134">(1-H134)*B134+H134*C134</f>
        <v>0.0277037805873724</v>
      </c>
      <c r="G134" s="4" cm="1">
        <f t="array" ref="G134">IF($D$2=0,0,MAX(0,MIN(1,(A134-'extras'!$E$3*$D$2)/('extras'!$E$4*$D$2))))</f>
        <v>0.7666666666666671</v>
      </c>
      <c r="H134" s="4" cm="1">
        <f t="array" ref="H134">$E$2*(G134^2*(3-2*G134))</f>
        <v>0.560348148148148</v>
      </c>
    </row>
    <row r="135" ht="15.75" customHeight="1">
      <c r="A135" s="4" cm="1">
        <f t="array" ref="A135">$D$2*(133)/200</f>
        <v>0.3325</v>
      </c>
      <c r="B135" s="4">
        <v>0.0355363793466874</v>
      </c>
      <c r="C135" s="4">
        <v>0.0218693808742592</v>
      </c>
      <c r="D135" s="4" cm="1">
        <f t="array" ref="D135">'extras'!$B$3</f>
        <v>0.5</v>
      </c>
      <c r="E135" s="4" cm="1">
        <f t="array" ref="E135">'extras'!$B$6</f>
        <v>0.65</v>
      </c>
      <c r="F135" s="4" cm="1">
        <f t="array" ref="F135">(1-H135)*B135+H135*C135</f>
        <v>0.0277996409942416</v>
      </c>
      <c r="G135" s="4" cm="1">
        <f t="array" ref="G135">IF($D$2=0,0,MAX(0,MIN(1,(A135-'extras'!$E$3*$D$2)/('extras'!$E$4*$D$2))))</f>
        <v>0.775</v>
      </c>
      <c r="H135" s="4" cm="1">
        <f t="array" ref="H135">$E$2*(G135^2*(3-2*G135))</f>
        <v>0.5660890625</v>
      </c>
    </row>
    <row r="136" ht="15.75" customHeight="1">
      <c r="A136" s="4" cm="1">
        <f t="array" ref="A136">$D$2*(134)/200</f>
        <v>0.335</v>
      </c>
      <c r="B136" s="4">
        <v>0.0356687186011837</v>
      </c>
      <c r="C136" s="4">
        <v>0.0220769601682851</v>
      </c>
      <c r="D136" s="4" cm="1">
        <f t="array" ref="D136">'extras'!$B$3</f>
        <v>0.5</v>
      </c>
      <c r="E136" s="4" cm="1">
        <f t="array" ref="E136">'extras'!$B$6</f>
        <v>0.65</v>
      </c>
      <c r="F136" s="4" cm="1">
        <f t="array" ref="F136">(1-H136)*B136+H136*C136</f>
        <v>0.0278985682968066</v>
      </c>
      <c r="G136" s="4" cm="1">
        <f t="array" ref="G136">IF($D$2=0,0,MAX(0,MIN(1,(A136-'extras'!$E$3*$D$2)/('extras'!$E$4*$D$2))))</f>
        <v>0.783333333333333</v>
      </c>
      <c r="H136" s="4" cm="1">
        <f t="array" ref="H136">$E$2*(G136^2*(3-2*G136))</f>
        <v>0.571681018518518</v>
      </c>
    </row>
    <row r="137" ht="15.75" customHeight="1">
      <c r="A137" s="4" cm="1">
        <f t="array" ref="A137">$D$2*(135)/200</f>
        <v>0.3375</v>
      </c>
      <c r="B137" s="4">
        <v>0.035799062340665</v>
      </c>
      <c r="C137" s="4">
        <v>0.0222864837872083</v>
      </c>
      <c r="D137" s="4" cm="1">
        <f t="array" ref="D137">'extras'!$B$3</f>
        <v>0.5</v>
      </c>
      <c r="E137" s="4" cm="1">
        <f t="array" ref="E137">'extras'!$B$6</f>
        <v>0.65</v>
      </c>
      <c r="F137" s="4" cm="1">
        <f t="array" ref="F137">(1-H137)*B137+H137*C137</f>
        <v>0.0280006897309042</v>
      </c>
      <c r="G137" s="4" cm="1">
        <f t="array" ref="G137">IF($D$2=0,0,MAX(0,MIN(1,(A137-'extras'!$E$3*$D$2)/('extras'!$E$4*$D$2))))</f>
        <v>0.791666666666667</v>
      </c>
      <c r="H137" s="4" cm="1">
        <f t="array" ref="H137">$E$2*(G137^2*(3-2*G137))</f>
        <v>0.577119502314815</v>
      </c>
    </row>
    <row r="138" ht="15.75" customHeight="1">
      <c r="A138" s="4" cm="1">
        <f t="array" ref="A138">$D$2*(136)/200</f>
        <v>0.34</v>
      </c>
      <c r="B138" s="4">
        <v>0.0359274108135641</v>
      </c>
      <c r="C138" s="4">
        <v>0.0224980075167527</v>
      </c>
      <c r="D138" s="4" cm="1">
        <f t="array" ref="D138">'extras'!$B$3</f>
        <v>0.5</v>
      </c>
      <c r="E138" s="4" cm="1">
        <f t="array" ref="E138">'extras'!$B$6</f>
        <v>0.65</v>
      </c>
      <c r="F138" s="4" cm="1">
        <f t="array" ref="F138">(1-H138)*B138+H138*C138</f>
        <v>0.0281061263335011</v>
      </c>
      <c r="G138" s="4" cm="1">
        <f t="array" ref="G138">IF($D$2=0,0,MAX(0,MIN(1,(A138-'extras'!$E$3*$D$2)/('extras'!$E$4*$D$2))))</f>
        <v>0.8</v>
      </c>
      <c r="H138" s="4" cm="1">
        <f t="array" ref="H138">$E$2*(G138^2*(3-2*G138))</f>
        <v>0.5824</v>
      </c>
    </row>
    <row r="139" ht="15.75" customHeight="1">
      <c r="A139" s="4" cm="1">
        <f t="array" ref="A139">$D$2*(137)/200</f>
        <v>0.3425</v>
      </c>
      <c r="B139" s="4">
        <v>0.0360537642644707</v>
      </c>
      <c r="C139" s="4">
        <v>0.022711582782519</v>
      </c>
      <c r="D139" s="4" cm="1">
        <f t="array" ref="D139">'extras'!$B$3</f>
        <v>0.5</v>
      </c>
      <c r="E139" s="4" cm="1">
        <f t="array" ref="E139">'extras'!$B$6</f>
        <v>0.65</v>
      </c>
      <c r="F139" s="4" cm="1">
        <f t="array" ref="F139">(1-H139)*B139+H139*C139</f>
        <v>0.0282149925154421</v>
      </c>
      <c r="G139" s="4" cm="1">
        <f t="array" ref="G139">IF($D$2=0,0,MAX(0,MIN(1,(A139-'extras'!$E$3*$D$2)/('extras'!$E$4*$D$2))))</f>
        <v>0.808333333333333</v>
      </c>
      <c r="H139" s="4" cm="1">
        <f t="array" ref="H139">$E$2*(G139^2*(3-2*G139))</f>
        <v>0.587517997685185</v>
      </c>
    </row>
    <row r="140" ht="15.75" customHeight="1">
      <c r="A140" s="4" cm="1">
        <f t="array" ref="A140">$D$2*(138)/200</f>
        <v>0.345</v>
      </c>
      <c r="B140" s="4">
        <v>0.0361781229341327</v>
      </c>
      <c r="C140" s="4">
        <v>0.0229272565916058</v>
      </c>
      <c r="D140" s="4" cm="1">
        <f t="array" ref="D140">'extras'!$B$3</f>
        <v>0.5</v>
      </c>
      <c r="E140" s="4" cm="1">
        <f t="array" ref="E140">'extras'!$B$6</f>
        <v>0.65</v>
      </c>
      <c r="F140" s="4" cm="1">
        <f t="array" ref="F140">(1-H140)*B140+H140*C140</f>
        <v>0.0283273956484285</v>
      </c>
      <c r="G140" s="4" cm="1">
        <f t="array" ref="G140">IF($D$2=0,0,MAX(0,MIN(1,(A140-'extras'!$E$3*$D$2)/('extras'!$E$4*$D$2))))</f>
        <v>0.816666666666667</v>
      </c>
      <c r="H140" s="4" cm="1">
        <f t="array" ref="H140">$E$2*(G140^2*(3-2*G140))</f>
        <v>0.592468981481482</v>
      </c>
    </row>
    <row r="141" ht="15.75" customHeight="1">
      <c r="A141" s="4" cm="1">
        <f t="array" ref="A141">$D$2*(139)/200</f>
        <v>0.3475</v>
      </c>
      <c r="B141" s="4">
        <v>0.0363004870594601</v>
      </c>
      <c r="C141" s="4">
        <v>0.0231450714927661</v>
      </c>
      <c r="D141" s="4" cm="1">
        <f t="array" ref="D141">'extras'!$B$3</f>
        <v>0.5</v>
      </c>
      <c r="E141" s="4" cm="1">
        <f t="array" ref="E141">'extras'!$B$6</f>
        <v>0.65</v>
      </c>
      <c r="F141" s="4" cm="1">
        <f t="array" ref="F141">(1-H141)*B141+H141*C141</f>
        <v>0.0284434356675889</v>
      </c>
      <c r="G141" s="4" cm="1">
        <f t="array" ref="G141">IF($D$2=0,0,MAX(0,MIN(1,(A141-'extras'!$E$3*$D$2)/('extras'!$E$4*$D$2))))</f>
        <v>0.825</v>
      </c>
      <c r="H141" s="4" cm="1">
        <f t="array" ref="H141">$E$2*(G141^2*(3-2*G141))</f>
        <v>0.5972484375</v>
      </c>
    </row>
    <row r="142" ht="15.75" customHeight="1">
      <c r="A142" s="4" cm="1">
        <f t="array" ref="A142">$D$2*(140)/200</f>
        <v>0.35</v>
      </c>
      <c r="B142" s="4">
        <v>0.0364208568735265</v>
      </c>
      <c r="C142" s="4">
        <v>0.0233650655546301</v>
      </c>
      <c r="D142" s="4" cm="1">
        <f t="array" ref="D142">'extras'!$B$3</f>
        <v>0.5</v>
      </c>
      <c r="E142" s="4" cm="1">
        <f t="array" ref="E142">'extras'!$B$6</f>
        <v>0.65</v>
      </c>
      <c r="F142" s="4" cm="1">
        <f t="array" ref="F142">(1-H142)*B142+H142*C142</f>
        <v>0.0285632046908574</v>
      </c>
      <c r="G142" s="4" cm="1">
        <f t="array" ref="G142">IF($D$2=0,0,MAX(0,MIN(1,(A142-'extras'!$E$3*$D$2)/('extras'!$E$4*$D$2))))</f>
        <v>0.833333333333333</v>
      </c>
      <c r="H142" s="4" cm="1">
        <f t="array" ref="H142">$E$2*(G142^2*(3-2*G142))</f>
        <v>0.601851851851852</v>
      </c>
    </row>
    <row r="143" ht="15.75" customHeight="1">
      <c r="A143" s="4" cm="1">
        <f t="array" ref="A143">$D$2*(141)/200</f>
        <v>0.3525</v>
      </c>
      <c r="B143" s="4">
        <v>0.0365392326055711</v>
      </c>
      <c r="C143" s="4">
        <v>0.0235872723614498</v>
      </c>
      <c r="D143" s="4" cm="1">
        <f t="array" ref="D143">'extras'!$B$3</f>
        <v>0.5</v>
      </c>
      <c r="E143" s="4" cm="1">
        <f t="array" ref="E143">'extras'!$B$6</f>
        <v>0.65</v>
      </c>
      <c r="F143" s="4" cm="1">
        <f t="array" ref="F143">(1-H143)*B143+H143*C143</f>
        <v>0.0286867866562401</v>
      </c>
      <c r="G143" s="4" cm="1">
        <f t="array" ref="G143">IF($D$2=0,0,MAX(0,MIN(1,(A143-'extras'!$E$3*$D$2)/('extras'!$E$4*$D$2))))</f>
        <v>0.841666666666667</v>
      </c>
      <c r="H143" s="4" cm="1">
        <f t="array" ref="H143">$E$2*(G143^2*(3-2*G143))</f>
        <v>0.606274710648148</v>
      </c>
    </row>
    <row r="144" ht="15.75" customHeight="1">
      <c r="A144" s="4" cm="1">
        <f t="array" ref="A144">$D$2*(142)/200</f>
        <v>0.355</v>
      </c>
      <c r="B144" s="4">
        <v>0.0366556144810017</v>
      </c>
      <c r="C144" s="4">
        <v>0.0238117210257454</v>
      </c>
      <c r="D144" s="4" cm="1">
        <f t="array" ref="D144">'extras'!$B$3</f>
        <v>0.5</v>
      </c>
      <c r="E144" s="4" cm="1">
        <f t="array" ref="E144">'extras'!$B$6</f>
        <v>0.65</v>
      </c>
      <c r="F144" s="4" cm="1">
        <f t="array" ref="F144">(1-H144)*B144+H144*C144</f>
        <v>0.0288142569778995</v>
      </c>
      <c r="G144" s="4" cm="1">
        <f t="array" ref="G144">IF($D$2=0,0,MAX(0,MIN(1,(A144-'extras'!$E$3*$D$2)/('extras'!$E$4*$D$2))))</f>
        <v>0.85</v>
      </c>
      <c r="H144" s="4" cm="1">
        <f t="array" ref="H144">$E$2*(G144^2*(3-2*G144))</f>
        <v>0.6105125</v>
      </c>
    </row>
    <row r="145" ht="15.75" customHeight="1">
      <c r="A145" s="4" cm="1">
        <f t="array" ref="A145">$D$2*(143)/200</f>
        <v>0.3575</v>
      </c>
      <c r="B145" s="4">
        <v>0.0367700027213957</v>
      </c>
      <c r="C145" s="4">
        <v>0.0240384362171673</v>
      </c>
      <c r="D145" s="4" cm="1">
        <f t="array" ref="D145">'extras'!$B$3</f>
        <v>0.5</v>
      </c>
      <c r="E145" s="4" cm="1">
        <f t="array" ref="E145">'extras'!$B$6</f>
        <v>0.65</v>
      </c>
      <c r="F145" s="4" cm="1">
        <f t="array" ref="F145">(1-H145)*B145+H145*C145</f>
        <v>0.0289456822218354</v>
      </c>
      <c r="G145" s="4" cm="1">
        <f t="array" ref="G145">IF($D$2=0,0,MAX(0,MIN(1,(A145-'extras'!$E$3*$D$2)/('extras'!$E$4*$D$2))))</f>
        <v>0.8583333333333329</v>
      </c>
      <c r="H145" s="4" cm="1">
        <f t="array" ref="H145">$E$2*(G145^2*(3-2*G145))</f>
        <v>0.614560706018518</v>
      </c>
    </row>
    <row r="146" ht="15.75" customHeight="1">
      <c r="A146" s="4" cm="1">
        <f t="array" ref="A146">$D$2*(144)/200</f>
        <v>0.36</v>
      </c>
      <c r="B146" s="4">
        <v>0.0368823975445038</v>
      </c>
      <c r="C146" s="4">
        <v>0.0242674382068305</v>
      </c>
      <c r="D146" s="4" cm="1">
        <f t="array" ref="D146">'extras'!$B$3</f>
        <v>0.5</v>
      </c>
      <c r="E146" s="4" cm="1">
        <f t="array" ref="E146">'extras'!$B$6</f>
        <v>0.65</v>
      </c>
      <c r="F146" s="4" cm="1">
        <f t="array" ref="F146">(1-H146)*B146+H146*C146</f>
        <v>0.0290811198018001</v>
      </c>
      <c r="G146" s="4" cm="1">
        <f t="array" ref="G146">IF($D$2=0,0,MAX(0,MIN(1,(A146-'extras'!$E$3*$D$2)/('extras'!$E$4*$D$2))))</f>
        <v>0.866666666666667</v>
      </c>
      <c r="H146" s="4" cm="1">
        <f t="array" ref="H146">$E$2*(G146^2*(3-2*G146))</f>
        <v>0.618414814814815</v>
      </c>
    </row>
    <row r="147" ht="15.75" customHeight="1">
      <c r="A147" s="4" cm="1">
        <f t="array" ref="A147">$D$2*(145)/200</f>
        <v>0.3625</v>
      </c>
      <c r="B147" s="4">
        <v>0.03699279916425</v>
      </c>
      <c r="C147" s="4">
        <v>0.0244987429263193</v>
      </c>
      <c r="D147" s="4" cm="1">
        <f t="array" ref="D147">'extras'!$B$3</f>
        <v>0.5</v>
      </c>
      <c r="E147" s="4" cm="1">
        <f t="array" ref="E147">'extras'!$B$6</f>
        <v>0.65</v>
      </c>
      <c r="F147" s="4" cm="1">
        <f t="array" ref="F147">(1-H147)*B147+H147*C147</f>
        <v>0.0292206176959279</v>
      </c>
      <c r="G147" s="4" cm="1">
        <f t="array" ref="G147">IF($D$2=0,0,MAX(0,MIN(1,(A147-'extras'!$E$3*$D$2)/('extras'!$E$4*$D$2))))</f>
        <v>0.875</v>
      </c>
      <c r="H147" s="4" cm="1">
        <f t="array" ref="H147">$E$2*(G147^2*(3-2*G147))</f>
        <v>0.6220703125</v>
      </c>
    </row>
    <row r="148" ht="15.75" customHeight="1">
      <c r="A148" s="4" cm="1">
        <f t="array" ref="A148">$D$2*(146)/200</f>
        <v>0.365</v>
      </c>
      <c r="B148" s="4">
        <v>0.037101207790736</v>
      </c>
      <c r="C148" s="4">
        <v>0.0247323620405213</v>
      </c>
      <c r="D148" s="4" cm="1">
        <f t="array" ref="D148">'extras'!$B$3</f>
        <v>0.5</v>
      </c>
      <c r="E148" s="4" cm="1">
        <f t="array" ref="E148">'extras'!$B$6</f>
        <v>0.65</v>
      </c>
      <c r="F148" s="4" cm="1">
        <f t="array" ref="F148">(1-H148)*B148+H148*C148</f>
        <v>0.0293642141844203</v>
      </c>
      <c r="G148" s="4" cm="1">
        <f t="array" ref="G148">IF($D$2=0,0,MAX(0,MIN(1,(A148-'extras'!$E$3*$D$2)/('extras'!$E$4*$D$2))))</f>
        <v>0.883333333333333</v>
      </c>
      <c r="H148" s="4" cm="1">
        <f t="array" ref="H148">$E$2*(G148^2*(3-2*G148))</f>
        <v>0.6255226851851849</v>
      </c>
    </row>
    <row r="149" ht="15.75" customHeight="1">
      <c r="A149" s="4" cm="1">
        <f t="array" ref="A149">$D$2*(147)/200</f>
        <v>0.3675</v>
      </c>
      <c r="B149" s="4">
        <v>0.0372076236302403</v>
      </c>
      <c r="C149" s="4">
        <v>0.0249683030334035</v>
      </c>
      <c r="D149" s="4" cm="1">
        <f t="array" ref="D149">'extras'!$B$3</f>
        <v>0.5</v>
      </c>
      <c r="E149" s="4" cm="1">
        <f t="array" ref="E149">'extras'!$B$6</f>
        <v>0.65</v>
      </c>
      <c r="F149" s="4" cm="1">
        <f t="array" ref="F149">(1-H149)*B149+H149*C149</f>
        <v>0.0295119376084803</v>
      </c>
      <c r="G149" s="4" cm="1">
        <f t="array" ref="G149">IF($D$2=0,0,MAX(0,MIN(1,(A149-'extras'!$E$3*$D$2)/('extras'!$E$4*$D$2))))</f>
        <v>0.8916666666666671</v>
      </c>
      <c r="H149" s="4" cm="1">
        <f t="array" ref="H149">$E$2*(G149^2*(3-2*G149))</f>
        <v>0.628767418981482</v>
      </c>
    </row>
    <row r="150" ht="15.75" customHeight="1">
      <c r="A150" s="4" cm="1">
        <f t="array" ref="A150">$D$2*(148)/200</f>
        <v>0.37</v>
      </c>
      <c r="B150" s="4">
        <v>0.0373120468852233</v>
      </c>
      <c r="C150" s="4">
        <v>0.0252065693058159</v>
      </c>
      <c r="D150" s="4" cm="1">
        <f t="array" ref="D150">'extras'!$B$3</f>
        <v>0.5</v>
      </c>
      <c r="E150" s="4" cm="1">
        <f t="array" ref="E150">'extras'!$B$6</f>
        <v>0.65</v>
      </c>
      <c r="F150" s="4" cm="1">
        <f t="array" ref="F150">(1-H150)*B150+H150*C150</f>
        <v>0.0296638061505537</v>
      </c>
      <c r="G150" s="4" cm="1">
        <f t="array" ref="G150">IF($D$2=0,0,MAX(0,MIN(1,(A150-'extras'!$E$3*$D$2)/('extras'!$E$4*$D$2))))</f>
        <v>0.9</v>
      </c>
      <c r="H150" s="4" cm="1">
        <f t="array" ref="H150">$E$2*(G150^2*(3-2*G150))</f>
        <v>0.6318</v>
      </c>
    </row>
    <row r="151" ht="15.75" customHeight="1">
      <c r="A151" s="4" cm="1">
        <f t="array" ref="A151">$D$2*(149)/200</f>
        <v>0.3725</v>
      </c>
      <c r="B151" s="4">
        <v>0.0374144777543273</v>
      </c>
      <c r="C151" s="4">
        <v>0.0254471602843807</v>
      </c>
      <c r="D151" s="4" cm="1">
        <f t="array" ref="D151">'extras'!$B$3</f>
        <v>0.5</v>
      </c>
      <c r="E151" s="4" cm="1">
        <f t="array" ref="E151">'extras'!$B$6</f>
        <v>0.65</v>
      </c>
      <c r="F151" s="4" cm="1">
        <f t="array" ref="F151">(1-H151)*B151+H151*C151</f>
        <v>0.0298198276357982</v>
      </c>
      <c r="G151" s="4" cm="1">
        <f t="array" ref="G151">IF($D$2=0,0,MAX(0,MIN(1,(A151-'extras'!$E$3*$D$2)/('extras'!$E$4*$D$2))))</f>
        <v>0.908333333333333</v>
      </c>
      <c r="H151" s="4" cm="1">
        <f t="array" ref="H151">$E$2*(G151^2*(3-2*G151))</f>
        <v>0.6346159143518521</v>
      </c>
    </row>
    <row r="152" ht="15.75" customHeight="1">
      <c r="A152" s="4" cm="1">
        <f t="array" ref="A152">$D$2*(150)/200</f>
        <v>0.375</v>
      </c>
      <c r="B152" s="4">
        <v>0.0375149164323787</v>
      </c>
      <c r="C152" s="4">
        <v>0.0256900715405056</v>
      </c>
      <c r="D152" s="4" cm="1">
        <f t="array" ref="D152">'extras'!$B$3</f>
        <v>0.5</v>
      </c>
      <c r="E152" s="4" cm="1">
        <f t="array" ref="E152">'extras'!$B$6</f>
        <v>0.65</v>
      </c>
      <c r="F152" s="4" cm="1">
        <f t="array" ref="F152">(1-H152)*B152+H152*C152</f>
        <v>0.0299799993545769</v>
      </c>
      <c r="G152" s="4" cm="1">
        <f t="array" ref="G152">IF($D$2=0,0,MAX(0,MIN(1,(A152-'extras'!$E$3*$D$2)/('extras'!$E$4*$D$2))))</f>
        <v>0.916666666666667</v>
      </c>
      <c r="H152" s="4" cm="1">
        <f t="array" ref="H152">$E$2*(G152^2*(3-2*G152))</f>
        <v>0.637210648148148</v>
      </c>
    </row>
    <row r="153" ht="15.75" customHeight="1">
      <c r="A153" s="4" cm="1">
        <f t="array" ref="A153">$D$2*(151)/200</f>
        <v>0.3775</v>
      </c>
      <c r="B153" s="4">
        <v>0.0376133631103905</v>
      </c>
      <c r="C153" s="4">
        <v>0.0259352949185493</v>
      </c>
      <c r="D153" s="4" cm="1">
        <f t="array" ref="D153">'extras'!$B$3</f>
        <v>0.5</v>
      </c>
      <c r="E153" s="4" cm="1">
        <f t="array" ref="E153">'extras'!$B$6</f>
        <v>0.65</v>
      </c>
      <c r="F153" s="4" cm="1">
        <f t="array" ref="F153">(1-H153)*B153+H153*C153</f>
        <v>0.030144307905649</v>
      </c>
      <c r="G153" s="4" cm="1">
        <f t="array" ref="G153">IF($D$2=0,0,MAX(0,MIN(1,(A153-'extras'!$E$3*$D$2)/('extras'!$E$4*$D$2))))</f>
        <v>0.925</v>
      </c>
      <c r="H153" s="4" cm="1">
        <f t="array" ref="H153">$E$2*(G153^2*(3-2*G153))</f>
        <v>0.6395796875</v>
      </c>
    </row>
    <row r="154" ht="15.75" customHeight="1">
      <c r="A154" s="4" cm="1">
        <f t="array" ref="A154">$D$2*(152)/200</f>
        <v>0.38</v>
      </c>
      <c r="B154" s="4">
        <v>0.0377098179755637</v>
      </c>
      <c r="C154" s="4">
        <v>0.0261828186721607</v>
      </c>
      <c r="D154" s="4" cm="1">
        <f t="array" ref="D154">'extras'!$B$3</f>
        <v>0.5</v>
      </c>
      <c r="E154" s="4" cm="1">
        <f t="array" ref="E154">'extras'!$B$6</f>
        <v>0.65</v>
      </c>
      <c r="F154" s="4" cm="1">
        <f t="array" ref="F154">(1-H154)*B154+H154*C154</f>
        <v>0.0303127290596199</v>
      </c>
      <c r="G154" s="4" cm="1">
        <f t="array" ref="G154">IF($D$2=0,0,MAX(0,MIN(1,(A154-'extras'!$E$3*$D$2)/('extras'!$E$4*$D$2))))</f>
        <v>0.933333333333333</v>
      </c>
      <c r="H154" s="4" cm="1">
        <f t="array" ref="H154">$E$2*(G154^2*(3-2*G154))</f>
        <v>0.641718518518518</v>
      </c>
    </row>
    <row r="155" ht="15.75" customHeight="1">
      <c r="A155" s="4" cm="1">
        <f t="array" ref="A155">$D$2*(153)/200</f>
        <v>0.3825</v>
      </c>
      <c r="B155" s="4">
        <v>0.037804281211288</v>
      </c>
      <c r="C155" s="4">
        <v>0.0264326276078139</v>
      </c>
      <c r="D155" s="4" cm="1">
        <f t="array" ref="D155">'extras'!$B$3</f>
        <v>0.5</v>
      </c>
      <c r="E155" s="4" cm="1">
        <f t="array" ref="E155">'extras'!$B$6</f>
        <v>0.65</v>
      </c>
      <c r="F155" s="4" cm="1">
        <f t="array" ref="F155">(1-H155)*B155+H155*C155</f>
        <v>0.030485227642106</v>
      </c>
      <c r="G155" s="4" cm="1">
        <f t="array" ref="G155">IF($D$2=0,0,MAX(0,MIN(1,(A155-'extras'!$E$3*$D$2)/('extras'!$E$4*$D$2))))</f>
        <v>0.941666666666667</v>
      </c>
      <c r="H155" s="4" cm="1">
        <f t="array" ref="H155">$E$2*(G155^2*(3-2*G155))</f>
        <v>0.643622627314815</v>
      </c>
    </row>
    <row r="156" ht="15.75" customHeight="1">
      <c r="A156" s="4" cm="1">
        <f t="array" ref="A156">$D$2*(154)/200</f>
        <v>0.385</v>
      </c>
      <c r="B156" s="4">
        <v>0.0378967529971455</v>
      </c>
      <c r="C156" s="4">
        <v>0.0266847032345665</v>
      </c>
      <c r="D156" s="4" cm="1">
        <f t="array" ref="D156">'extras'!$B$3</f>
        <v>0.5</v>
      </c>
      <c r="E156" s="4" cm="1">
        <f t="array" ref="E156">'extras'!$B$6</f>
        <v>0.65</v>
      </c>
      <c r="F156" s="4" cm="1">
        <f t="array" ref="F156">(1-H156)*B156+H156*C156</f>
        <v>0.0306617574359753</v>
      </c>
      <c r="G156" s="4" cm="1">
        <f t="array" ref="G156">IF($D$2=0,0,MAX(0,MIN(1,(A156-'extras'!$E$3*$D$2)/('extras'!$E$4*$D$2))))</f>
        <v>0.95</v>
      </c>
      <c r="H156" s="4" cm="1">
        <f t="array" ref="H156">$E$2*(G156^2*(3-2*G156))</f>
        <v>0.6452875</v>
      </c>
    </row>
    <row r="157" ht="15.75" customHeight="1">
      <c r="A157" s="4" cm="1">
        <f t="array" ref="A157">$D$2*(155)/200</f>
        <v>0.3875</v>
      </c>
      <c r="B157" s="4">
        <v>0.0379872335089115</v>
      </c>
      <c r="C157" s="4">
        <v>0.0269390239190831</v>
      </c>
      <c r="D157" s="4" cm="1">
        <f t="array" ref="D157">'extras'!$B$3</f>
        <v>0.5</v>
      </c>
      <c r="E157" s="4" cm="1">
        <f t="array" ref="E157">'extras'!$B$6</f>
        <v>0.65</v>
      </c>
      <c r="F157" s="4" cm="1">
        <f t="array" ref="F157">(1-H157)*B157+H157*C157</f>
        <v>0.0308422611019363</v>
      </c>
      <c r="G157" s="4" cm="1">
        <f t="array" ref="G157">IF($D$2=0,0,MAX(0,MIN(1,(A157-'extras'!$E$3*$D$2)/('extras'!$E$4*$D$2))))</f>
        <v>0.958333333333333</v>
      </c>
      <c r="H157" s="4" cm="1">
        <f t="array" ref="H157">$E$2*(G157^2*(3-2*G157))</f>
        <v>0.646708622685185</v>
      </c>
    </row>
    <row r="158" ht="15.75" customHeight="1">
      <c r="A158" s="4" cm="1">
        <f t="array" ref="A158">$D$2*(156)/200</f>
        <v>0.39</v>
      </c>
      <c r="B158" s="4">
        <v>0.0380757229185558</v>
      </c>
      <c r="C158" s="4">
        <v>0.0271955650449791</v>
      </c>
      <c r="D158" s="4" cm="1">
        <f t="array" ref="D158">'extras'!$B$3</f>
        <v>0.5</v>
      </c>
      <c r="E158" s="4" cm="1">
        <f t="array" ref="E158">'extras'!$B$6</f>
        <v>0.65</v>
      </c>
      <c r="F158" s="4" cm="1">
        <f t="array" ref="F158">(1-H158)*B158+H158*C158</f>
        <v>0.0310266701166705</v>
      </c>
      <c r="G158" s="4" cm="1">
        <f t="array" ref="G158">IF($D$2=0,0,MAX(0,MIN(1,(A158-'extras'!$E$3*$D$2)/('extras'!$E$4*$D$2))))</f>
        <v>0.966666666666667</v>
      </c>
      <c r="H158" s="4" cm="1">
        <f t="array" ref="H158">$E$2*(G158^2*(3-2*G158))</f>
        <v>0.6478814814814819</v>
      </c>
    </row>
    <row r="159" ht="15.75" customHeight="1">
      <c r="A159" s="4" cm="1">
        <f t="array" ref="A159">$D$2*(157)/200</f>
        <v>0.3925</v>
      </c>
      <c r="B159" s="4">
        <v>0.0381622213942445</v>
      </c>
      <c r="C159" s="4">
        <v>0.0274542991755664</v>
      </c>
      <c r="D159" s="4" cm="1">
        <f t="array" ref="D159">'extras'!$B$3</f>
        <v>0.5</v>
      </c>
      <c r="E159" s="4" cm="1">
        <f t="array" ref="E159">'extras'!$B$6</f>
        <v>0.65</v>
      </c>
      <c r="F159" s="4" cm="1">
        <f t="array" ref="F159">(1-H159)*B159+H159*C159</f>
        <v>0.0312149047276377</v>
      </c>
      <c r="G159" s="4" cm="1">
        <f t="array" ref="G159">IF($D$2=0,0,MAX(0,MIN(1,(A159-'extras'!$E$3*$D$2)/('extras'!$E$4*$D$2))))</f>
        <v>0.975</v>
      </c>
      <c r="H159" s="4" cm="1">
        <f t="array" ref="H159">$E$2*(G159^2*(3-2*G159))</f>
        <v>0.6488015625</v>
      </c>
    </row>
    <row r="160" ht="15.75" customHeight="1">
      <c r="A160" s="4" cm="1">
        <f t="array" ref="A160">$D$2*(158)/200</f>
        <v>0.395</v>
      </c>
      <c r="B160" s="4">
        <v>0.0382467291003423</v>
      </c>
      <c r="C160" s="4">
        <v>0.0277151962191042</v>
      </c>
      <c r="D160" s="4" cm="1">
        <f t="array" ref="D160">'extras'!$B$3</f>
        <v>0.5</v>
      </c>
      <c r="E160" s="4" cm="1">
        <f t="array" ref="E160">'extras'!$B$6</f>
        <v>0.65</v>
      </c>
      <c r="F160" s="4" cm="1">
        <f t="array" ref="F160">(1-H160)*B160+H160*C160</f>
        <v>0.0314068739236225</v>
      </c>
      <c r="G160" s="4" cm="1">
        <f t="array" ref="G160">IF($D$2=0,0,MAX(0,MIN(1,(A160-'extras'!$E$3*$D$2)/('extras'!$E$4*$D$2))))</f>
        <v>0.9833333333333329</v>
      </c>
      <c r="H160" s="4" cm="1">
        <f t="array" ref="H160">$E$2*(G160^2*(3-2*G160))</f>
        <v>0.649464351851852</v>
      </c>
    </row>
    <row r="161" ht="15.75" customHeight="1">
      <c r="A161" s="4" cm="1">
        <f t="array" ref="A161">$D$2*(159)/200</f>
        <v>0.3975</v>
      </c>
      <c r="B161" s="4">
        <v>0.0383292461974136</v>
      </c>
      <c r="C161" s="4">
        <v>0.0279782235956934</v>
      </c>
      <c r="D161" s="4" cm="1">
        <f t="array" ref="D161">'extras'!$B$3</f>
        <v>0.5</v>
      </c>
      <c r="E161" s="4" cm="1">
        <f t="array" ref="E161">'extras'!$B$6</f>
        <v>0.65</v>
      </c>
      <c r="F161" s="4" cm="1">
        <f t="array" ref="F161">(1-H161)*B161+H161*C161</f>
        <v>0.0316024754200451</v>
      </c>
      <c r="G161" s="4" cm="1">
        <f t="array" ref="G161">IF($D$2=0,0,MAX(0,MIN(1,(A161-'extras'!$E$3*$D$2)/('extras'!$E$4*$D$2))))</f>
        <v>0.991666666666667</v>
      </c>
      <c r="H161" s="4" cm="1">
        <f t="array" ref="H161">$E$2*(G161^2*(3-2*G161))</f>
        <v>0.649865335648148</v>
      </c>
    </row>
    <row r="162" ht="15.75" customHeight="1">
      <c r="A162" s="4" cm="1">
        <f t="array" ref="A162">$D$2*(160)/200</f>
        <v>0.4</v>
      </c>
      <c r="B162" s="4">
        <v>0.0384097728422237</v>
      </c>
      <c r="C162" s="4">
        <v>0.0282433464049841</v>
      </c>
      <c r="D162" s="4" cm="1">
        <f t="array" ref="D162">'extras'!$B$3</f>
        <v>0.5</v>
      </c>
      <c r="E162" s="4" cm="1">
        <f t="array" ref="E162">'extras'!$B$6</f>
        <v>0.65</v>
      </c>
      <c r="F162" s="4" cm="1">
        <f t="array" ref="F162">(1-H162)*B162+H162*C162</f>
        <v>0.031801595658018</v>
      </c>
      <c r="G162" s="4" cm="1">
        <f t="array" ref="G162">IF($D$2=0,0,MAX(0,MIN(1,(A162-'extras'!$E$3*$D$2)/('extras'!$E$4*$D$2))))</f>
        <v>1</v>
      </c>
      <c r="H162" s="4" cm="1">
        <f t="array" ref="H162">$E$2*(G162^2*(3-2*G162))</f>
        <v>0.65</v>
      </c>
    </row>
    <row r="163" ht="15.75" customHeight="1">
      <c r="A163" s="4" cm="1">
        <f t="array" ref="A163">$D$2*(161)/200</f>
        <v>0.4025</v>
      </c>
      <c r="B163" s="4">
        <v>0.0384883091877408</v>
      </c>
      <c r="C163" s="4">
        <v>0.0285105275939036</v>
      </c>
      <c r="D163" s="4" cm="1">
        <f t="array" ref="D163">'extras'!$B$3</f>
        <v>0.5</v>
      </c>
      <c r="E163" s="4" cm="1">
        <f t="array" ref="E163">'extras'!$B$6</f>
        <v>0.65</v>
      </c>
      <c r="F163" s="4" cm="1">
        <f t="array" ref="F163">(1-H163)*B163+H163*C163</f>
        <v>0.0320027511517466</v>
      </c>
      <c r="G163" s="4" cm="1">
        <f t="array" ref="G163">IF($D$2=0,0,MAX(0,MIN(1,(A163-'extras'!$E$3*$D$2)/('extras'!$E$4*$D$2))))</f>
        <v>1</v>
      </c>
      <c r="H163" s="4" cm="1">
        <f t="array" ref="H163">$E$2*(G163^2*(3-2*G163))</f>
        <v>0.65</v>
      </c>
    </row>
    <row r="164" ht="15.75" customHeight="1">
      <c r="A164" s="4" cm="1">
        <f t="array" ref="A164">$D$2*(162)/200</f>
        <v>0.405</v>
      </c>
      <c r="B164" s="4">
        <v>0.0385648553831368</v>
      </c>
      <c r="C164" s="4">
        <v>0.0287797281236543</v>
      </c>
      <c r="D164" s="4" cm="1">
        <f t="array" ref="D164">'extras'!$B$3</f>
        <v>0.5</v>
      </c>
      <c r="E164" s="4" cm="1">
        <f t="array" ref="E164">'extras'!$B$6</f>
        <v>0.65</v>
      </c>
      <c r="F164" s="4" cm="1">
        <f t="array" ref="F164">(1-H164)*B164+H164*C164</f>
        <v>0.0322045226644732</v>
      </c>
      <c r="G164" s="4" cm="1">
        <f t="array" ref="G164">IF($D$2=0,0,MAX(0,MIN(1,(A164-'extras'!$E$3*$D$2)/('extras'!$E$4*$D$2))))</f>
        <v>1</v>
      </c>
      <c r="H164" s="4" cm="1">
        <f t="array" ref="H164">$E$2*(G164^2*(3-2*G164))</f>
        <v>0.65</v>
      </c>
    </row>
    <row r="165" ht="15.75" customHeight="1">
      <c r="A165" s="4" cm="1">
        <f t="array" ref="A165">$D$2*(163)/200</f>
        <v>0.4075</v>
      </c>
      <c r="B165" s="4">
        <v>0.0386394115737896</v>
      </c>
      <c r="C165" s="4">
        <v>0.0290509071352725</v>
      </c>
      <c r="D165" s="4" cm="1">
        <f t="array" ref="D165">'extras'!$B$3</f>
        <v>0.5</v>
      </c>
      <c r="E165" s="4" cm="1">
        <f t="array" ref="E165">'extras'!$B$6</f>
        <v>0.65</v>
      </c>
      <c r="F165" s="4" cm="1">
        <f t="array" ref="F165">(1-H165)*B165+H165*C165</f>
        <v>0.0324068836887535</v>
      </c>
      <c r="G165" s="4" cm="1">
        <f t="array" ref="G165">IF($D$2=0,0,MAX(0,MIN(1,(A165-'extras'!$E$3*$D$2)/('extras'!$E$4*$D$2))))</f>
        <v>1</v>
      </c>
      <c r="H165" s="4" cm="1">
        <f t="array" ref="H165">$E$2*(G165^2*(3-2*G165))</f>
        <v>0.65</v>
      </c>
    </row>
    <row r="166" ht="15.75" customHeight="1">
      <c r="A166" s="4" cm="1">
        <f t="array" ref="A166">$D$2*(164)/200</f>
        <v>0.41</v>
      </c>
      <c r="B166" s="4">
        <v>0.0387119779012837</v>
      </c>
      <c r="C166" s="4">
        <v>0.0293240221130834</v>
      </c>
      <c r="D166" s="4" cm="1">
        <f t="array" ref="D166">'extras'!$B$3</f>
        <v>0.5</v>
      </c>
      <c r="E166" s="4" cm="1">
        <f t="array" ref="E166">'extras'!$B$6</f>
        <v>0.65</v>
      </c>
      <c r="F166" s="4" cm="1">
        <f t="array" ref="F166">(1-H166)*B166+H166*C166</f>
        <v>0.0326098066389535</v>
      </c>
      <c r="G166" s="4" cm="1">
        <f t="array" ref="G166">IF($D$2=0,0,MAX(0,MIN(1,(A166-'extras'!$E$3*$D$2)/('extras'!$E$4*$D$2))))</f>
        <v>1</v>
      </c>
      <c r="H166" s="4" cm="1">
        <f t="array" ref="H166">$E$2*(G166^2*(3-2*G166))</f>
        <v>0.65</v>
      </c>
    </row>
    <row r="167" ht="15.75" customHeight="1">
      <c r="A167" s="4" cm="1">
        <f t="array" ref="A167">$D$2*(165)/200</f>
        <v>0.4125</v>
      </c>
      <c r="B167" s="4">
        <v>0.0387825545034124</v>
      </c>
      <c r="C167" s="4">
        <v>0.0295990290454358</v>
      </c>
      <c r="D167" s="4" cm="1">
        <f t="array" ref="D167">'extras'!$B$3</f>
        <v>0.5</v>
      </c>
      <c r="E167" s="4" cm="1">
        <f t="array" ref="E167">'extras'!$B$6</f>
        <v>0.65</v>
      </c>
      <c r="F167" s="4" cm="1">
        <f t="array" ref="F167">(1-H167)*B167+H167*C167</f>
        <v>0.0328132629557276</v>
      </c>
      <c r="G167" s="4" cm="1">
        <f t="array" ref="G167">IF($D$2=0,0,MAX(0,MIN(1,(A167-'extras'!$E$3*$D$2)/('extras'!$E$4*$D$2))))</f>
        <v>1</v>
      </c>
      <c r="H167" s="4" cm="1">
        <f t="array" ref="H167">$E$2*(G167^2*(3-2*G167))</f>
        <v>0.65</v>
      </c>
    </row>
    <row r="168" ht="15.75" customHeight="1">
      <c r="A168" s="4" cm="1">
        <f t="array" ref="A168">$D$2*(166)/200</f>
        <v>0.415</v>
      </c>
      <c r="B168" s="4">
        <v>0.0388511415141783</v>
      </c>
      <c r="C168" s="4">
        <v>0.0298758825821452</v>
      </c>
      <c r="D168" s="4" cm="1">
        <f t="array" ref="D168">'extras'!$B$3</f>
        <v>0.5</v>
      </c>
      <c r="E168" s="4" cm="1">
        <f t="array" ref="E168">'extras'!$B$6</f>
        <v>0.65</v>
      </c>
      <c r="F168" s="4" cm="1">
        <f t="array" ref="F168">(1-H168)*B168+H168*C168</f>
        <v>0.0330172232083568</v>
      </c>
      <c r="G168" s="4" cm="1">
        <f t="array" ref="G168">IF($D$2=0,0,MAX(0,MIN(1,(A168-'extras'!$E$3*$D$2)/('extras'!$E$4*$D$2))))</f>
        <v>1</v>
      </c>
      <c r="H168" s="4" cm="1">
        <f t="array" ref="H168">$E$2*(G168^2*(3-2*G168))</f>
        <v>0.65</v>
      </c>
    </row>
    <row r="169" ht="15.75" customHeight="1">
      <c r="A169" s="4" cm="1">
        <f t="array" ref="A169">$D$2*(167)/200</f>
        <v>0.4175</v>
      </c>
      <c r="B169" s="4">
        <v>0.0389177390637942</v>
      </c>
      <c r="C169" s="4">
        <v>0.0301545361881256</v>
      </c>
      <c r="D169" s="4" cm="1">
        <f t="array" ref="D169">'extras'!$B$3</f>
        <v>0.5</v>
      </c>
      <c r="E169" s="4" cm="1">
        <f t="array" ref="E169">'extras'!$B$6</f>
        <v>0.65</v>
      </c>
      <c r="F169" s="4" cm="1">
        <f t="array" ref="F169">(1-H169)*B169+H169*C169</f>
        <v>0.0332216571946096</v>
      </c>
      <c r="G169" s="4" cm="1">
        <f t="array" ref="G169">IF($D$2=0,0,MAX(0,MIN(1,(A169-'extras'!$E$3*$D$2)/('extras'!$E$4*$D$2))))</f>
        <v>1</v>
      </c>
      <c r="H169" s="4" cm="1">
        <f t="array" ref="H169">$E$2*(G169^2*(3-2*G169))</f>
        <v>0.65</v>
      </c>
    </row>
    <row r="170" ht="15.75" customHeight="1">
      <c r="A170" s="4" cm="1">
        <f t="array" ref="A170">$D$2*(168)/200</f>
        <v>0.42</v>
      </c>
      <c r="B170" s="4">
        <v>0.038982347278687</v>
      </c>
      <c r="C170" s="4">
        <v>0.030434942292736</v>
      </c>
      <c r="D170" s="4" cm="1">
        <f t="array" ref="D170">'extras'!$B$3</f>
        <v>0.5</v>
      </c>
      <c r="E170" s="4" cm="1">
        <f t="array" ref="E170">'extras'!$B$6</f>
        <v>0.65</v>
      </c>
      <c r="F170" s="4" cm="1">
        <f t="array" ref="F170">(1-H170)*B170+H170*C170</f>
        <v>0.0334265340378189</v>
      </c>
      <c r="G170" s="4" cm="1">
        <f t="array" ref="G170">IF($D$2=0,0,MAX(0,MIN(1,(A170-'extras'!$E$3*$D$2)/('extras'!$E$4*$D$2))))</f>
        <v>1</v>
      </c>
      <c r="H170" s="4" cm="1">
        <f t="array" ref="H170">$E$2*(G170^2*(3-2*G170))</f>
        <v>0.65</v>
      </c>
    </row>
    <row r="171" ht="15.75" customHeight="1">
      <c r="A171" s="4" cm="1">
        <f t="array" ref="A171">$D$2*(169)/200</f>
        <v>0.4225</v>
      </c>
      <c r="B171" s="4">
        <v>0.039044966281494</v>
      </c>
      <c r="C171" s="4">
        <v>0.0307170524344184</v>
      </c>
      <c r="D171" s="4" cm="1">
        <f t="array" ref="D171">'extras'!$B$3</f>
        <v>0.5</v>
      </c>
      <c r="E171" s="4" cm="1">
        <f t="array" ref="E171">'extras'!$B$6</f>
        <v>0.65</v>
      </c>
      <c r="F171" s="4" cm="1">
        <f t="array" ref="F171">(1-H171)*B171+H171*C171</f>
        <v>0.0336318222808949</v>
      </c>
      <c r="G171" s="4" cm="1">
        <f t="array" ref="G171">IF($D$2=0,0,MAX(0,MIN(1,(A171-'extras'!$E$3*$D$2)/('extras'!$E$4*$D$2))))</f>
        <v>1</v>
      </c>
      <c r="H171" s="4" cm="1">
        <f t="array" ref="H171">$E$2*(G171^2*(3-2*G171))</f>
        <v>0.65</v>
      </c>
    </row>
    <row r="172" ht="15.75" customHeight="1">
      <c r="A172" s="4" cm="1">
        <f t="array" ref="A172">$D$2*(170)/200</f>
        <v>0.425</v>
      </c>
      <c r="B172" s="4">
        <v>0.0391055961910696</v>
      </c>
      <c r="C172" s="4">
        <v>0.0310008174002539</v>
      </c>
      <c r="D172" s="4" cm="1">
        <f t="array" ref="D172">'extras'!$B$3</f>
        <v>0.5</v>
      </c>
      <c r="E172" s="4" cm="1">
        <f t="array" ref="E172">'extras'!$B$6</f>
        <v>0.65</v>
      </c>
      <c r="F172" s="4" cm="1">
        <f t="array" ref="F172">(1-H172)*B172+H172*C172</f>
        <v>0.0338374899770394</v>
      </c>
      <c r="G172" s="4" cm="1">
        <f t="array" ref="G172">IF($D$2=0,0,MAX(0,MIN(1,(A172-'extras'!$E$3*$D$2)/('extras'!$E$4*$D$2))))</f>
        <v>1</v>
      </c>
      <c r="H172" s="4" cm="1">
        <f t="array" ref="H172">$E$2*(G172^2*(3-2*G172))</f>
        <v>0.65</v>
      </c>
    </row>
    <row r="173" ht="15.75" customHeight="1">
      <c r="A173" s="4" cm="1">
        <f t="array" ref="A173">$D$2*(171)/200</f>
        <v>0.4275</v>
      </c>
      <c r="B173" s="4">
        <v>0.0391642371224821</v>
      </c>
      <c r="C173" s="4">
        <v>0.0312861873601088</v>
      </c>
      <c r="D173" s="4" cm="1">
        <f t="array" ref="D173">'extras'!$B$3</f>
        <v>0.5</v>
      </c>
      <c r="E173" s="4" cm="1">
        <f t="array" ref="E173">'extras'!$B$6</f>
        <v>0.65</v>
      </c>
      <c r="F173" s="4" cm="1">
        <f t="array" ref="F173">(1-H173)*B173+H173*C173</f>
        <v>0.0340435047769395</v>
      </c>
      <c r="G173" s="4" cm="1">
        <f t="array" ref="G173">IF($D$2=0,0,MAX(0,MIN(1,(A173-'extras'!$E$3*$D$2)/('extras'!$E$4*$D$2))))</f>
        <v>1</v>
      </c>
      <c r="H173" s="4" cm="1">
        <f t="array" ref="H173">$E$2*(G173^2*(3-2*G173))</f>
        <v>0.65</v>
      </c>
    </row>
    <row r="174" ht="15.75" customHeight="1">
      <c r="A174" s="4" cm="1">
        <f t="array" ref="A174">$D$2*(172)/200</f>
        <v>0.43</v>
      </c>
      <c r="B174" s="4">
        <v>0.039220889187018</v>
      </c>
      <c r="C174" s="4">
        <v>0.031573111995092</v>
      </c>
      <c r="D174" s="4" cm="1">
        <f t="array" ref="D174">'extras'!$B$3</f>
        <v>0.5</v>
      </c>
      <c r="E174" s="4" cm="1">
        <f t="array" ref="E174">'extras'!$B$6</f>
        <v>0.65</v>
      </c>
      <c r="F174" s="4" cm="1">
        <f t="array" ref="F174">(1-H174)*B174+H174*C174</f>
        <v>0.0342498340122661</v>
      </c>
      <c r="G174" s="4" cm="1">
        <f t="array" ref="G174">IF($D$2=0,0,MAX(0,MIN(1,(A174-'extras'!$E$3*$D$2)/('extras'!$E$4*$D$2))))</f>
        <v>1</v>
      </c>
      <c r="H174" s="4" cm="1">
        <f t="array" ref="H174">$E$2*(G174^2*(3-2*G174))</f>
        <v>0.65</v>
      </c>
    </row>
    <row r="175" ht="15.75" customHeight="1">
      <c r="A175" s="4" cm="1">
        <f t="array" ref="A175">$D$2*(173)/200</f>
        <v>0.4325</v>
      </c>
      <c r="B175" s="4">
        <v>0.0392755524921795</v>
      </c>
      <c r="C175" s="4">
        <v>0.0318615406200923</v>
      </c>
      <c r="D175" s="4" cm="1">
        <f t="array" ref="D175">'extras'!$B$3</f>
        <v>0.5</v>
      </c>
      <c r="E175" s="4" cm="1">
        <f t="array" ref="E175">'extras'!$B$6</f>
        <v>0.65</v>
      </c>
      <c r="F175" s="4" cm="1">
        <f t="array" ref="F175">(1-H175)*B175+H175*C175</f>
        <v>0.0344564447753228</v>
      </c>
      <c r="G175" s="4" cm="1">
        <f t="array" ref="G175">IF($D$2=0,0,MAX(0,MIN(1,(A175-'extras'!$E$3*$D$2)/('extras'!$E$4*$D$2))))</f>
        <v>1</v>
      </c>
      <c r="H175" s="4" cm="1">
        <f t="array" ref="H175">$E$2*(G175^2*(3-2*G175))</f>
        <v>0.65</v>
      </c>
    </row>
    <row r="176" ht="15.75" customHeight="1">
      <c r="A176" s="4" cm="1">
        <f t="array" ref="A176">$D$2*(174)/200</f>
        <v>0.435</v>
      </c>
      <c r="B176" s="4">
        <v>0.0393282271416897</v>
      </c>
      <c r="C176" s="4">
        <v>0.0321514223002056</v>
      </c>
      <c r="D176" s="4" cm="1">
        <f t="array" ref="D176">'extras'!$B$3</f>
        <v>0.5</v>
      </c>
      <c r="E176" s="4" cm="1">
        <f t="array" ref="E176">'extras'!$B$6</f>
        <v>0.65</v>
      </c>
      <c r="F176" s="4" cm="1">
        <f t="array" ref="F176">(1-H176)*B176+H176*C176</f>
        <v>0.034663303994725</v>
      </c>
      <c r="G176" s="4" cm="1">
        <f t="array" ref="G176">IF($D$2=0,0,MAX(0,MIN(1,(A176-'extras'!$E$3*$D$2)/('extras'!$E$4*$D$2))))</f>
        <v>1</v>
      </c>
      <c r="H176" s="4" cm="1">
        <f t="array" ref="H176">$E$2*(G176^2*(3-2*G176))</f>
        <v>0.65</v>
      </c>
    </row>
    <row r="177" ht="15.75" customHeight="1">
      <c r="A177" s="4" cm="1">
        <f t="array" ref="A177">$D$2*(175)/200</f>
        <v>0.4375</v>
      </c>
      <c r="B177" s="4">
        <v>0.03937891323549</v>
      </c>
      <c r="C177" s="4">
        <v>0.0324427059609096</v>
      </c>
      <c r="D177" s="4" cm="1">
        <f t="array" ref="D177">'extras'!$B$3</f>
        <v>0.5</v>
      </c>
      <c r="E177" s="4" cm="1">
        <f t="array" ref="E177">'extras'!$B$6</f>
        <v>0.65</v>
      </c>
      <c r="F177" s="4" cm="1">
        <f t="array" ref="F177">(1-H177)*B177+H177*C177</f>
        <v>0.0348703785070127</v>
      </c>
      <c r="G177" s="4" cm="1">
        <f t="array" ref="G177">IF($D$2=0,0,MAX(0,MIN(1,(A177-'extras'!$E$3*$D$2)/('extras'!$E$4*$D$2))))</f>
        <v>1</v>
      </c>
      <c r="H177" s="4" cm="1">
        <f t="array" ref="H177">$E$2*(G177^2*(3-2*G177))</f>
        <v>0.65</v>
      </c>
    </row>
    <row r="178" ht="15.75" customHeight="1">
      <c r="A178" s="4" cm="1">
        <f t="array" ref="A178">$D$2*(176)/200</f>
        <v>0.44</v>
      </c>
      <c r="B178" s="4">
        <v>0.0394276108697431</v>
      </c>
      <c r="C178" s="4">
        <v>0.0327353404918812</v>
      </c>
      <c r="D178" s="4" cm="1">
        <f t="array" ref="D178">'extras'!$B$3</f>
        <v>0.5</v>
      </c>
      <c r="E178" s="4" cm="1">
        <f t="array" ref="E178">'extras'!$B$6</f>
        <v>0.65</v>
      </c>
      <c r="F178" s="4" cm="1">
        <f t="array" ref="F178">(1-H178)*B178+H178*C178</f>
        <v>0.0350776351241329</v>
      </c>
      <c r="G178" s="4" cm="1">
        <f t="array" ref="G178">IF($D$2=0,0,MAX(0,MIN(1,(A178-'extras'!$E$3*$D$2)/('extras'!$E$4*$D$2))))</f>
        <v>1</v>
      </c>
      <c r="H178" s="4" cm="1">
        <f t="array" ref="H178">$E$2*(G178^2*(3-2*G178))</f>
        <v>0.65</v>
      </c>
    </row>
    <row r="179" ht="15.75" customHeight="1">
      <c r="A179" s="4" cm="1">
        <f t="array" ref="A179">$D$2*(177)/200</f>
        <v>0.4425</v>
      </c>
      <c r="B179" s="4">
        <v>0.0394743201368337</v>
      </c>
      <c r="C179" s="4">
        <v>0.0330292748443948</v>
      </c>
      <c r="D179" s="4" cm="1">
        <f t="array" ref="D179">'extras'!$B$3</f>
        <v>0.5</v>
      </c>
      <c r="E179" s="4" cm="1">
        <f t="array" ref="E179">'extras'!$B$6</f>
        <v>0.65</v>
      </c>
      <c r="F179" s="4" cm="1">
        <f t="array" ref="F179">(1-H179)*B179+H179*C179</f>
        <v>0.0352850406967484</v>
      </c>
      <c r="G179" s="4" cm="1">
        <f t="array" ref="G179">IF($D$2=0,0,MAX(0,MIN(1,(A179-'extras'!$E$3*$D$2)/('extras'!$E$4*$D$2))))</f>
        <v>1</v>
      </c>
      <c r="H179" s="4" cm="1">
        <f t="array" ref="H179">$E$2*(G179^2*(3-2*G179))</f>
        <v>0.65</v>
      </c>
    </row>
    <row r="180" ht="15.75" customHeight="1">
      <c r="A180" s="4" cm="1">
        <f t="array" ref="A180">$D$2*(178)/200</f>
        <v>0.445</v>
      </c>
      <c r="B180" s="4">
        <v>0.0395190411253679</v>
      </c>
      <c r="C180" s="4">
        <v>0.0333244581222746</v>
      </c>
      <c r="D180" s="4" cm="1">
        <f t="array" ref="D180">'extras'!$B$3</f>
        <v>0.5</v>
      </c>
      <c r="E180" s="4" cm="1">
        <f t="array" ref="E180">'extras'!$B$6</f>
        <v>0.65</v>
      </c>
      <c r="F180" s="4" cm="1">
        <f t="array" ref="F180">(1-H180)*B180+H180*C180</f>
        <v>0.0354925621733573</v>
      </c>
      <c r="G180" s="4" cm="1">
        <f t="array" ref="G180">IF($D$2=0,0,MAX(0,MIN(1,(A180-'extras'!$E$3*$D$2)/('extras'!$E$4*$D$2))))</f>
        <v>1</v>
      </c>
      <c r="H180" s="4" cm="1">
        <f t="array" ref="H180">$E$2*(G180^2*(3-2*G180))</f>
        <v>0.65</v>
      </c>
    </row>
    <row r="181" ht="15.75" customHeight="1">
      <c r="A181" s="4" cm="1">
        <f t="array" ref="A181">$D$2*(179)/200</f>
        <v>0.4475</v>
      </c>
      <c r="B181" s="4">
        <v>0.0395617739201755</v>
      </c>
      <c r="C181" s="4">
        <v>0.0336208396664113</v>
      </c>
      <c r="D181" s="4" cm="1">
        <f t="array" ref="D181">'extras'!$B$3</f>
        <v>0.5</v>
      </c>
      <c r="E181" s="4" cm="1">
        <f t="array" ref="E181">'extras'!$B$6</f>
        <v>0.65</v>
      </c>
      <c r="F181" s="4" cm="1">
        <f t="array" ref="F181">(1-H181)*B181+H181*C181</f>
        <v>0.0357001666552288</v>
      </c>
      <c r="G181" s="4" cm="1">
        <f t="array" ref="G181">IF($D$2=0,0,MAX(0,MIN(1,(A181-'extras'!$E$3*$D$2)/('extras'!$E$4*$D$2))))</f>
        <v>1</v>
      </c>
      <c r="H181" s="4" cm="1">
        <f t="array" ref="H181">$E$2*(G181^2*(3-2*G181))</f>
        <v>0.65</v>
      </c>
    </row>
    <row r="182" ht="15.75" customHeight="1">
      <c r="A182" s="4" cm="1">
        <f t="array" ref="A182">$D$2*(180)/200</f>
        <v>0.45</v>
      </c>
      <c r="B182" s="4">
        <v>0.0396025186023117</v>
      </c>
      <c r="C182" s="4">
        <v>0.0339183691328844</v>
      </c>
      <c r="D182" s="4" cm="1">
        <f t="array" ref="D182">'extras'!$B$3</f>
        <v>0.5</v>
      </c>
      <c r="E182" s="4" cm="1">
        <f t="array" ref="E182">'extras'!$B$6</f>
        <v>0.65</v>
      </c>
      <c r="F182" s="4" cm="1">
        <f t="array" ref="F182">(1-H182)*B182+H182*C182</f>
        <v>0.035907821447184</v>
      </c>
      <c r="G182" s="4" cm="1">
        <f t="array" ref="G182">IF($D$2=0,0,MAX(0,MIN(1,(A182-'extras'!$E$3*$D$2)/('extras'!$E$4*$D$2))))</f>
        <v>1</v>
      </c>
      <c r="H182" s="4" cm="1">
        <f t="array" ref="H182">$E$2*(G182^2*(3-2*G182))</f>
        <v>0.65</v>
      </c>
    </row>
    <row r="183" ht="15.75" customHeight="1">
      <c r="A183" s="4" cm="1">
        <f t="array" ref="A183">$D$2*(181)/200</f>
        <v>0.4525</v>
      </c>
      <c r="B183" s="4">
        <v>0.0396412752490547</v>
      </c>
      <c r="C183" s="4">
        <v>0.034216996564765</v>
      </c>
      <c r="D183" s="4" cm="1">
        <f t="array" ref="D183">'extras'!$B$3</f>
        <v>0.5</v>
      </c>
      <c r="E183" s="4" cm="1">
        <f t="array" ref="E183">'extras'!$B$6</f>
        <v>0.65</v>
      </c>
      <c r="F183" s="4" cm="1">
        <f t="array" ref="F183">(1-H183)*B183+H183*C183</f>
        <v>0.0361154941042664</v>
      </c>
      <c r="G183" s="4" cm="1">
        <f t="array" ref="G183">IF($D$2=0,0,MAX(0,MIN(1,(A183-'extras'!$E$3*$D$2)/('extras'!$E$4*$D$2))))</f>
        <v>1</v>
      </c>
      <c r="H183" s="4" cm="1">
        <f t="array" ref="H183">$E$2*(G183^2*(3-2*G183))</f>
        <v>0.65</v>
      </c>
    </row>
    <row r="184" ht="15.75" customHeight="1">
      <c r="A184" s="4" cm="1">
        <f t="array" ref="A184">$D$2*(182)/200</f>
        <v>0.455</v>
      </c>
      <c r="B184" s="4">
        <v>0.0396780439339097</v>
      </c>
      <c r="C184" s="4">
        <v>0.0345166724576988</v>
      </c>
      <c r="D184" s="4" cm="1">
        <f t="array" ref="D184">'extras'!$B$3</f>
        <v>0.5</v>
      </c>
      <c r="E184" s="4" cm="1">
        <f t="array" ref="E184">'extras'!$B$6</f>
        <v>0.65</v>
      </c>
      <c r="F184" s="4" cm="1">
        <f t="array" ref="F184">(1-H184)*B184+H184*C184</f>
        <v>0.0363231524743726</v>
      </c>
      <c r="G184" s="4" cm="1">
        <f t="array" ref="G184">IF($D$2=0,0,MAX(0,MIN(1,(A184-'extras'!$E$3*$D$2)/('extras'!$E$4*$D$2))))</f>
        <v>1</v>
      </c>
      <c r="H184" s="4" cm="1">
        <f t="array" ref="H184">$E$2*(G184^2*(3-2*G184))</f>
        <v>0.65</v>
      </c>
    </row>
    <row r="185" ht="15.75" customHeight="1">
      <c r="A185" s="4" cm="1">
        <f t="array" ref="A185">$D$2*(183)/200</f>
        <v>0.4575</v>
      </c>
      <c r="B185" s="4">
        <v>0.0397128247266081</v>
      </c>
      <c r="C185" s="4">
        <v>0.034817347819397</v>
      </c>
      <c r="D185" s="4" cm="1">
        <f t="array" ref="D185">'extras'!$B$3</f>
        <v>0.5</v>
      </c>
      <c r="E185" s="4" cm="1">
        <f t="array" ref="E185">'extras'!$B$6</f>
        <v>0.65</v>
      </c>
      <c r="F185" s="4" cm="1">
        <f t="array" ref="F185">(1-H185)*B185+H185*C185</f>
        <v>0.0365307647369209</v>
      </c>
      <c r="G185" s="4" cm="1">
        <f t="array" ref="G185">IF($D$2=0,0,MAX(0,MIN(1,(A185-'extras'!$E$3*$D$2)/('extras'!$E$4*$D$2))))</f>
        <v>1</v>
      </c>
      <c r="H185" s="4" cm="1">
        <f t="array" ref="H185">$E$2*(G185^2*(3-2*G185))</f>
        <v>0.65</v>
      </c>
    </row>
    <row r="186" ht="15.75" customHeight="1">
      <c r="A186" s="4" cm="1">
        <f t="array" ref="A186">$D$2*(184)/200</f>
        <v>0.46</v>
      </c>
      <c r="B186" s="4">
        <v>0.0397456176931068</v>
      </c>
      <c r="C186" s="4">
        <v>0.0351189742231854</v>
      </c>
      <c r="D186" s="4" cm="1">
        <f t="array" ref="D186">'extras'!$B$3</f>
        <v>0.5</v>
      </c>
      <c r="E186" s="4" cm="1">
        <f t="array" ref="E186">'extras'!$B$6</f>
        <v>0.65</v>
      </c>
      <c r="F186" s="4" cm="1">
        <f t="array" ref="F186">(1-H186)*B186+H186*C186</f>
        <v>0.0367382994376579</v>
      </c>
      <c r="G186" s="4" cm="1">
        <f t="array" ref="G186">IF($D$2=0,0,MAX(0,MIN(1,(A186-'extras'!$E$3*$D$2)/('extras'!$E$4*$D$2))))</f>
        <v>1</v>
      </c>
      <c r="H186" s="4" cm="1">
        <f t="array" ref="H186">$E$2*(G186^2*(3-2*G186))</f>
        <v>0.65</v>
      </c>
    </row>
    <row r="187" ht="15.75" customHeight="1">
      <c r="A187" s="4" cm="1">
        <f t="array" ref="A187">$D$2*(185)/200</f>
        <v>0.4625</v>
      </c>
      <c r="B187" s="4">
        <v>0.039776422895593</v>
      </c>
      <c r="C187" s="4">
        <v>0.0354215038557826</v>
      </c>
      <c r="D187" s="4" cm="1">
        <f t="array" ref="D187">'extras'!$B$3</f>
        <v>0.5</v>
      </c>
      <c r="E187" s="4" cm="1">
        <f t="array" ref="E187">'extras'!$B$6</f>
        <v>0.65</v>
      </c>
      <c r="F187" s="4" cm="1">
        <f t="array" ref="F187">(1-H187)*B187+H187*C187</f>
        <v>0.0369457255197162</v>
      </c>
      <c r="G187" s="4" cm="1">
        <f t="array" ref="G187">IF($D$2=0,0,MAX(0,MIN(1,(A187-'extras'!$E$3*$D$2)/('extras'!$E$4*$D$2))))</f>
        <v>1</v>
      </c>
      <c r="H187" s="4" cm="1">
        <f t="array" ref="H187">$E$2*(G187^2*(3-2*G187))</f>
        <v>0.65</v>
      </c>
    </row>
    <row r="188" ht="15.75" customHeight="1">
      <c r="A188" s="4" cm="1">
        <f t="array" ref="A188">$D$2*(186)/200</f>
        <v>0.465</v>
      </c>
      <c r="B188" s="4">
        <v>0.0398052403924796</v>
      </c>
      <c r="C188" s="4">
        <v>0.0357248895594964</v>
      </c>
      <c r="D188" s="4" cm="1">
        <f t="array" ref="D188">'extras'!$B$3</f>
        <v>0.5</v>
      </c>
      <c r="E188" s="4" cm="1">
        <f t="array" ref="E188">'extras'!$B$6</f>
        <v>0.65</v>
      </c>
      <c r="F188" s="4" cm="1">
        <f t="array" ref="F188">(1-H188)*B188+H188*C188</f>
        <v>0.0371530123510405</v>
      </c>
      <c r="G188" s="4" cm="1">
        <f t="array" ref="G188">IF($D$2=0,0,MAX(0,MIN(1,(A188-'extras'!$E$3*$D$2)/('extras'!$E$4*$D$2))))</f>
        <v>1</v>
      </c>
      <c r="H188" s="4" cm="1">
        <f t="array" ref="H188">$E$2*(G188^2*(3-2*G188))</f>
        <v>0.65</v>
      </c>
    </row>
    <row r="189" ht="15.75" customHeight="1">
      <c r="A189" s="4" cm="1">
        <f t="array" ref="A189">$D$2*(187)/200</f>
        <v>0.4675</v>
      </c>
      <c r="B189" s="4">
        <v>0.0398320702384098</v>
      </c>
      <c r="C189" s="4">
        <v>0.0360290848690447</v>
      </c>
      <c r="D189" s="4" cm="1">
        <f t="array" ref="D189">'extras'!$B$3</f>
        <v>0.5</v>
      </c>
      <c r="E189" s="4" cm="1">
        <f t="array" ref="E189">'extras'!$B$6</f>
        <v>0.65</v>
      </c>
      <c r="F189" s="4" cm="1">
        <f t="array" ref="F189">(1-H189)*B189+H189*C189</f>
        <v>0.0373601297483225</v>
      </c>
      <c r="G189" s="4" cm="1">
        <f t="array" ref="G189">IF($D$2=0,0,MAX(0,MIN(1,(A189-'extras'!$E$3*$D$2)/('extras'!$E$4*$D$2))))</f>
        <v>1</v>
      </c>
      <c r="H189" s="4" cm="1">
        <f t="array" ref="H189">$E$2*(G189^2*(3-2*G189))</f>
        <v>0.65</v>
      </c>
    </row>
    <row r="190" ht="15.75" customHeight="1">
      <c r="A190" s="4" cm="1">
        <f t="array" ref="A190">$D$2*(188)/200</f>
        <v>0.47</v>
      </c>
      <c r="B190" s="4">
        <v>0.0398569124842552</v>
      </c>
      <c r="C190" s="4">
        <v>0.0363340440432183</v>
      </c>
      <c r="D190" s="4" cm="1">
        <f t="array" ref="D190">'extras'!$B$3</f>
        <v>0.5</v>
      </c>
      <c r="E190" s="4" cm="1">
        <f t="array" ref="E190">'extras'!$B$6</f>
        <v>0.65</v>
      </c>
      <c r="F190" s="4" cm="1">
        <f t="array" ref="F190">(1-H190)*B190+H190*C190</f>
        <v>0.0375670479975812</v>
      </c>
      <c r="G190" s="4" cm="1">
        <f t="array" ref="G190">IF($D$2=0,0,MAX(0,MIN(1,(A190-'extras'!$E$3*$D$2)/('extras'!$E$4*$D$2))))</f>
        <v>1</v>
      </c>
      <c r="H190" s="4" cm="1">
        <f t="array" ref="H190">$E$2*(G190^2*(3-2*G190))</f>
        <v>0.65</v>
      </c>
    </row>
    <row r="191" ht="15.75" customHeight="1">
      <c r="A191" s="4" cm="1">
        <f t="array" ref="A191">$D$2*(189)/200</f>
        <v>0.4725</v>
      </c>
      <c r="B191" s="4">
        <v>0.0398797671771174</v>
      </c>
      <c r="C191" s="4">
        <v>0.0366397220916175</v>
      </c>
      <c r="D191" s="4" cm="1">
        <f t="array" ref="D191">'extras'!$B$3</f>
        <v>0.5</v>
      </c>
      <c r="E191" s="4" cm="1">
        <f t="array" ref="E191">'extras'!$B$6</f>
        <v>0.65</v>
      </c>
      <c r="F191" s="4" cm="1">
        <f t="array" ref="F191">(1-H191)*B191+H191*C191</f>
        <v>0.0377737378715425</v>
      </c>
      <c r="G191" s="4" cm="1">
        <f t="array" ref="G191">IF($D$2=0,0,MAX(0,MIN(1,(A191-'extras'!$E$3*$D$2)/('extras'!$E$4*$D$2))))</f>
        <v>1</v>
      </c>
      <c r="H191" s="4" cm="1">
        <f t="array" ref="H191">$E$2*(G191^2*(3-2*G191))</f>
        <v>0.65</v>
      </c>
    </row>
    <row r="192" ht="15.75" customHeight="1">
      <c r="A192" s="4" cm="1">
        <f t="array" ref="A192">$D$2*(190)/200</f>
        <v>0.475</v>
      </c>
      <c r="B192" s="4">
        <v>0.0399006343603294</v>
      </c>
      <c r="C192" s="4">
        <v>0.0369460747967009</v>
      </c>
      <c r="D192" s="4" cm="1">
        <f t="array" ref="D192">'extras'!$B$3</f>
        <v>0.5</v>
      </c>
      <c r="E192" s="4" cm="1">
        <f t="array" ref="E192">'extras'!$B$6</f>
        <v>0.65</v>
      </c>
      <c r="F192" s="4" cm="1">
        <f t="array" ref="F192">(1-H192)*B192+H192*C192</f>
        <v>0.0379801706439709</v>
      </c>
      <c r="G192" s="4" cm="1">
        <f t="array" ref="G192">IF($D$2=0,0,MAX(0,MIN(1,(A192-'extras'!$E$3*$D$2)/('extras'!$E$4*$D$2))))</f>
        <v>1</v>
      </c>
      <c r="H192" s="4" cm="1">
        <f t="array" ref="H192">$E$2*(G192^2*(3-2*G192))</f>
        <v>0.65</v>
      </c>
    </row>
    <row r="193" ht="15.75" customHeight="1">
      <c r="A193" s="4" cm="1">
        <f t="array" ref="A193">$D$2*(191)/200</f>
        <v>0.4775</v>
      </c>
      <c r="B193" s="4">
        <v>0.0399195140734525</v>
      </c>
      <c r="C193" s="4">
        <v>0.0372530587313936</v>
      </c>
      <c r="D193" s="4" cm="1">
        <f t="array" ref="D193">'extras'!$B$3</f>
        <v>0.5</v>
      </c>
      <c r="E193" s="4" cm="1">
        <f t="array" ref="E193">'extras'!$B$6</f>
        <v>0.65</v>
      </c>
      <c r="F193" s="4" cm="1">
        <f t="array" ref="F193">(1-H193)*B193+H193*C193</f>
        <v>0.0381863181011142</v>
      </c>
      <c r="G193" s="4" cm="1">
        <f t="array" ref="G193">IF($D$2=0,0,MAX(0,MIN(1,(A193-'extras'!$E$3*$D$2)/('extras'!$E$4*$D$2))))</f>
        <v>1</v>
      </c>
      <c r="H193" s="4" cm="1">
        <f t="array" ref="H193">$E$2*(G193^2*(3-2*G193))</f>
        <v>0.65</v>
      </c>
    </row>
    <row r="194" ht="15.75" customHeight="1">
      <c r="A194" s="4" cm="1">
        <f t="array" ref="A194">$D$2*(192)/200</f>
        <v>0.48</v>
      </c>
      <c r="B194" s="4">
        <v>0.0399364063522811</v>
      </c>
      <c r="C194" s="4">
        <v>0.0375606312725066</v>
      </c>
      <c r="D194" s="4" cm="1">
        <f t="array" ref="D194">'extras'!$B$3</f>
        <v>0.5</v>
      </c>
      <c r="E194" s="4" cm="1">
        <f t="array" ref="E194">'extras'!$B$6</f>
        <v>0.65</v>
      </c>
      <c r="F194" s="4" cm="1">
        <f t="array" ref="F194">(1-H194)*B194+H194*C194</f>
        <v>0.0383921525504277</v>
      </c>
      <c r="G194" s="4" cm="1">
        <f t="array" ref="G194">IF($D$2=0,0,MAX(0,MIN(1,(A194-'extras'!$E$3*$D$2)/('extras'!$E$4*$D$2))))</f>
        <v>1</v>
      </c>
      <c r="H194" s="4" cm="1">
        <f t="array" ref="H194">$E$2*(G194^2*(3-2*G194))</f>
        <v>0.65</v>
      </c>
    </row>
    <row r="195" ht="15.75" customHeight="1">
      <c r="A195" s="4" cm="1">
        <f t="array" ref="A195">$D$2*(193)/200</f>
        <v>0.4825</v>
      </c>
      <c r="B195" s="4">
        <v>0.0399513112288403</v>
      </c>
      <c r="C195" s="4">
        <v>0.0378687506102216</v>
      </c>
      <c r="D195" s="4" cm="1">
        <f t="array" ref="D195">'extras'!$B$3</f>
        <v>0.5</v>
      </c>
      <c r="E195" s="4" cm="1">
        <f t="array" ref="E195">'extras'!$B$6</f>
        <v>0.65</v>
      </c>
      <c r="F195" s="4" cm="1">
        <f t="array" ref="F195">(1-H195)*B195+H195*C195</f>
        <v>0.0385976468267381</v>
      </c>
      <c r="G195" s="4" cm="1">
        <f t="array" ref="G195">IF($D$2=0,0,MAX(0,MIN(1,(A195-'extras'!$E$3*$D$2)/('extras'!$E$4*$D$2))))</f>
        <v>1</v>
      </c>
      <c r="H195" s="4" cm="1">
        <f t="array" ref="H195">$E$2*(G195^2*(3-2*G195))</f>
        <v>0.65</v>
      </c>
    </row>
    <row r="196" ht="15.75" customHeight="1">
      <c r="A196" s="4" cm="1">
        <f t="array" ref="A196">$D$2*(194)/200</f>
        <v>0.485</v>
      </c>
      <c r="B196" s="4">
        <v>0.0399642287313857</v>
      </c>
      <c r="C196" s="4">
        <v>0.038177375753899</v>
      </c>
      <c r="D196" s="4" cm="1">
        <f t="array" ref="D196">'extras'!$B$3</f>
        <v>0.5</v>
      </c>
      <c r="E196" s="4" cm="1">
        <f t="array" ref="E196">'extras'!$B$6</f>
        <v>0.65</v>
      </c>
      <c r="F196" s="4" cm="1">
        <f t="array" ref="F196">(1-H196)*B196+H196*C196</f>
        <v>0.0388027742960193</v>
      </c>
      <c r="G196" s="4" cm="1">
        <f t="array" ref="G196">IF($D$2=0,0,MAX(0,MIN(1,(A196-'extras'!$E$3*$D$2)/('extras'!$E$4*$D$2))))</f>
        <v>1</v>
      </c>
      <c r="H196" s="4" cm="1">
        <f t="array" ref="H196">$E$2*(G196^2*(3-2*G196))</f>
        <v>0.65</v>
      </c>
    </row>
    <row r="197" ht="15.75" customHeight="1">
      <c r="A197" s="4" cm="1">
        <f t="array" ref="A197">$D$2*(195)/200</f>
        <v>0.4875</v>
      </c>
      <c r="B197" s="4">
        <v>0.0399751588844071</v>
      </c>
      <c r="C197" s="4">
        <v>0.0384864665344642</v>
      </c>
      <c r="D197" s="4" cm="1">
        <f t="array" ref="D197">'extras'!$B$3</f>
        <v>0.5</v>
      </c>
      <c r="E197" s="4" cm="1">
        <f t="array" ref="E197">'extras'!$B$6</f>
        <v>0.65</v>
      </c>
      <c r="F197" s="4" cm="1">
        <f t="array" ref="F197">(1-H197)*B197+H197*C197</f>
        <v>0.0390075088569442</v>
      </c>
      <c r="G197" s="4" cm="1">
        <f t="array" ref="G197">IF($D$2=0,0,MAX(0,MIN(1,(A197-'extras'!$E$3*$D$2)/('extras'!$E$4*$D$2))))</f>
        <v>1</v>
      </c>
      <c r="H197" s="4" cm="1">
        <f t="array" ref="H197">$E$2*(G197^2*(3-2*G197))</f>
        <v>0.65</v>
      </c>
    </row>
    <row r="198" ht="15.75" customHeight="1">
      <c r="A198" s="4" cm="1">
        <f t="array" ref="A198">$D$2*(196)/200</f>
        <v>0.49</v>
      </c>
      <c r="B198" s="4">
        <v>0.0399841017086242</v>
      </c>
      <c r="C198" s="4">
        <v>0.0387959836036275</v>
      </c>
      <c r="D198" s="4" cm="1">
        <f t="array" ref="D198">'extras'!$B$3</f>
        <v>0.5</v>
      </c>
      <c r="E198" s="4" cm="1">
        <f t="array" ref="E198">'extras'!$B$6</f>
        <v>0.65</v>
      </c>
      <c r="F198" s="4" cm="1">
        <f t="array" ref="F198">(1-H198)*B198+H198*C198</f>
        <v>0.0392118249403763</v>
      </c>
      <c r="G198" s="4" cm="1">
        <f t="array" ref="G198">IF($D$2=0,0,MAX(0,MIN(1,(A198-'extras'!$E$3*$D$2)/('extras'!$E$4*$D$2))))</f>
        <v>1</v>
      </c>
      <c r="H198" s="4" cm="1">
        <f t="array" ref="H198">$E$2*(G198^2*(3-2*G198))</f>
        <v>0.65</v>
      </c>
    </row>
    <row r="199" ht="15.75" customHeight="1">
      <c r="A199" s="4" cm="1">
        <f t="array" ref="A199">$D$2*(197)/200</f>
        <v>0.4925</v>
      </c>
      <c r="B199" s="4">
        <v>0.0399910572209903</v>
      </c>
      <c r="C199" s="4">
        <v>0.0391058884301898</v>
      </c>
      <c r="D199" s="4" cm="1">
        <f t="array" ref="D199">'extras'!$B$3</f>
        <v>0.5</v>
      </c>
      <c r="E199" s="4" cm="1">
        <f t="array" ref="E199">'extras'!$B$6</f>
        <v>0.65</v>
      </c>
      <c r="F199" s="4" cm="1">
        <f t="array" ref="F199">(1-H199)*B199+H199*C199</f>
        <v>0.03941569750697</v>
      </c>
      <c r="G199" s="4" cm="1">
        <f t="array" ref="G199">IF($D$2=0,0,MAX(0,MIN(1,(A199-'extras'!$E$3*$D$2)/('extras'!$E$4*$D$2))))</f>
        <v>1</v>
      </c>
      <c r="H199" s="4" cm="1">
        <f t="array" ref="H199">$E$2*(G199^2*(3-2*G199))</f>
        <v>0.65</v>
      </c>
    </row>
    <row r="200" ht="15.75" customHeight="1">
      <c r="A200" s="4" cm="1">
        <f t="array" ref="A200">$D$2*(198)/200</f>
        <v>0.495</v>
      </c>
      <c r="B200" s="4">
        <v>0.0399960254346903</v>
      </c>
      <c r="C200" s="4">
        <v>0.0394161432936801</v>
      </c>
      <c r="D200" s="4" cm="1">
        <f t="array" ref="D200">'extras'!$B$3</f>
        <v>0.5</v>
      </c>
      <c r="E200" s="4" cm="1">
        <f t="array" ref="E200">'extras'!$B$6</f>
        <v>0.65</v>
      </c>
      <c r="F200" s="4" cm="1">
        <f t="array" ref="F200">(1-H200)*B200+H200*C200</f>
        <v>0.0396191020430337</v>
      </c>
      <c r="G200" s="4" cm="1">
        <f t="array" ref="G200">IF($D$2=0,0,MAX(0,MIN(1,(A200-'extras'!$E$3*$D$2)/('extras'!$E$4*$D$2))))</f>
        <v>1</v>
      </c>
      <c r="H200" s="4" cm="1">
        <f t="array" ref="H200">$E$2*(G200^2*(3-2*G200))</f>
        <v>0.65</v>
      </c>
    </row>
    <row r="201" ht="15.75" customHeight="1">
      <c r="A201" s="4" cm="1">
        <f t="array" ref="A201">$D$2*(199)/200</f>
        <v>0.4975</v>
      </c>
      <c r="B201" s="4">
        <v>0.0399990063591438</v>
      </c>
      <c r="C201" s="4">
        <v>0.0397267112755688</v>
      </c>
      <c r="D201" s="4" cm="1">
        <f t="array" ref="D201">'extras'!$B$3</f>
        <v>0.5</v>
      </c>
      <c r="E201" s="4" cm="1">
        <f t="array" ref="E201">'extras'!$B$6</f>
        <v>0.65</v>
      </c>
      <c r="F201" s="4" cm="1">
        <f t="array" ref="F201">(1-H201)*B201+H201*C201</f>
        <v>0.0398220145548201</v>
      </c>
      <c r="G201" s="4" cm="1">
        <f t="array" ref="G201">IF($D$2=0,0,MAX(0,MIN(1,(A201-'extras'!$E$3*$D$2)/('extras'!$E$4*$D$2))))</f>
        <v>1</v>
      </c>
      <c r="H201" s="4" cm="1">
        <f t="array" ref="H201">$E$2*(G201^2*(3-2*G201))</f>
        <v>0.65</v>
      </c>
    </row>
    <row r="202" ht="15.75" customHeight="1">
      <c r="A202" s="4" cm="1">
        <f t="array" ref="A202">$D$2*(200)/200</f>
        <v>0.5</v>
      </c>
      <c r="B202" s="4">
        <v>0.04</v>
      </c>
      <c r="C202" s="4">
        <v>0.04</v>
      </c>
      <c r="D202" s="4" cm="1">
        <f t="array" ref="D202">'extras'!$B$3</f>
        <v>0.5</v>
      </c>
      <c r="E202" s="4" cm="1">
        <f t="array" ref="E202">'extras'!$B$6</f>
        <v>0.65</v>
      </c>
      <c r="F202" s="4" cm="1">
        <f t="array" ref="F202">(1-H202)*B202+H202*C202</f>
        <v>0.04</v>
      </c>
      <c r="G202" s="4" cm="1">
        <f t="array" ref="G202">IF($D$2=0,0,MAX(0,MIN(1,(A202-'extras'!$E$3*$D$2)/('extras'!$E$4*$D$2))))</f>
        <v>1</v>
      </c>
      <c r="H202" s="4" cm="1">
        <f t="array" ref="H202">$E$2*(G202^2*(3-2*G202))</f>
        <v>0.65</v>
      </c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11"/>
  <sheetViews>
    <sheetView workbookViewId="0" showGridLines="0" defaultGridColor="1"/>
  </sheetViews>
  <sheetFormatPr defaultColWidth="14.5" defaultRowHeight="15" customHeight="1" outlineLevelRow="0" outlineLevelCol="0"/>
  <cols>
    <col min="1" max="1" width="12" style="5" customWidth="1"/>
    <col min="2" max="2" width="14" style="5" customWidth="1"/>
    <col min="3" max="3" width="12" style="5" customWidth="1"/>
    <col min="4" max="5" width="8.67188" style="5" customWidth="1"/>
    <col min="6" max="16384" width="14.5" style="5" customWidth="1"/>
  </cols>
  <sheetData>
    <row r="1" ht="13.55" customHeight="1">
      <c r="A1" t="s" s="2">
        <v>8</v>
      </c>
      <c r="B1" s="6"/>
      <c r="C1" s="6"/>
      <c r="D1" t="s" s="3">
        <v>9</v>
      </c>
      <c r="E1" s="6"/>
    </row>
    <row r="2" ht="13.55" customHeight="1">
      <c r="A2" t="s" s="2">
        <v>10</v>
      </c>
      <c r="B2" t="s" s="2">
        <v>11</v>
      </c>
      <c r="C2" s="6"/>
      <c r="D2" t="s" s="3">
        <v>10</v>
      </c>
      <c r="E2" t="s" s="3">
        <v>11</v>
      </c>
    </row>
    <row r="3" ht="13.55" customHeight="1">
      <c r="A3" t="s" s="3">
        <v>3</v>
      </c>
      <c r="B3" s="4">
        <v>0.5</v>
      </c>
      <c r="C3" s="6"/>
      <c r="D3" t="s" s="3">
        <v>12</v>
      </c>
      <c r="E3" s="4">
        <v>0.2</v>
      </c>
    </row>
    <row r="4" ht="13.55" customHeight="1">
      <c r="A4" t="s" s="3">
        <v>13</v>
      </c>
      <c r="B4" s="4">
        <v>0.08</v>
      </c>
      <c r="C4" s="6"/>
      <c r="D4" t="s" s="3">
        <v>14</v>
      </c>
      <c r="E4" s="4">
        <v>0.6</v>
      </c>
    </row>
    <row r="5" ht="13.55" customHeight="1">
      <c r="A5" t="s" s="3">
        <v>15</v>
      </c>
      <c r="B5" s="4" cm="1">
        <f t="array" ref="B5">$B$4/2</f>
        <v>0.04</v>
      </c>
      <c r="C5" s="6"/>
      <c r="D5" t="s" s="3">
        <v>16</v>
      </c>
      <c r="E5" t="s" s="3">
        <v>17</v>
      </c>
    </row>
    <row r="6" ht="13.55" customHeight="1">
      <c r="A6" t="s" s="3">
        <v>4</v>
      </c>
      <c r="B6" s="4">
        <v>0.65</v>
      </c>
      <c r="C6" s="6"/>
      <c r="D6" s="6"/>
      <c r="E6" s="6"/>
    </row>
    <row r="7" ht="13.55" customHeight="1">
      <c r="A7" t="s" s="3">
        <v>18</v>
      </c>
      <c r="B7" s="4">
        <v>0.1</v>
      </c>
      <c r="C7" s="6"/>
      <c r="D7" s="6"/>
      <c r="E7" s="6"/>
    </row>
    <row r="8" ht="13.55" customHeight="1">
      <c r="A8" t="s" s="3">
        <v>19</v>
      </c>
      <c r="B8" s="4">
        <v>0.45</v>
      </c>
      <c r="C8" s="6"/>
      <c r="D8" s="6"/>
      <c r="E8" s="6"/>
    </row>
    <row r="9" ht="13.55" customHeight="1">
      <c r="A9" t="s" s="3">
        <v>20</v>
      </c>
      <c r="B9" s="4">
        <v>0.18</v>
      </c>
      <c r="C9" s="6"/>
      <c r="D9" s="6"/>
      <c r="E9" s="6"/>
    </row>
    <row r="10" ht="13.55" customHeight="1">
      <c r="A10" t="s" s="2">
        <v>0</v>
      </c>
      <c r="B10" t="s" s="2">
        <v>21</v>
      </c>
      <c r="C10" t="s" s="2">
        <v>22</v>
      </c>
      <c r="D10" s="6"/>
      <c r="E10" s="6"/>
    </row>
    <row r="11" ht="13.55" customHeight="1">
      <c r="A11" s="4" cm="1">
        <f t="array" ref="A11">$B$3*(ROW()-11)/(201-1)</f>
        <v>0</v>
      </c>
      <c r="B11" s="4" cm="1">
        <f t="array" ref="B11">SQRT(MAX(((($B$5^2+$B$3^2)/(2*$B$5))^2)-($B$3-A11)^2,0))-((($B$5^2+$B$3^2)/(2*$B$5))-$B$5)</f>
        <v>-1.87220031144797e-17</v>
      </c>
      <c r="C11" s="4" cm="1">
        <f t="array" ref="C11">MIN($B$5,$B$5*(1-COS(PI()*A11/(2*$B$3)))+($B$7*$B$5)*EXP(-0.5*((A11/$B$3-$B$8)/$B$9)^2))</f>
        <v>0.00017574773449363</v>
      </c>
      <c r="D11" s="6"/>
      <c r="E11" s="6"/>
    </row>
    <row r="12" ht="13.55" customHeight="1">
      <c r="A12" s="4" cm="1">
        <f t="array" ref="A12">$B$3*1/200</f>
        <v>0.0025</v>
      </c>
      <c r="B12" s="4" cm="1">
        <f t="array" ref="B12">SQRT(MAX((($B$5^2+$B$3^2)/(2*$B$5))^2-($B$3-A12)^2,0))-((($B$5^2+$B$3^2)/(2*$B$5))-$B$5)</f>
        <v>0.000401544084114284</v>
      </c>
      <c r="C12" s="4" cm="1">
        <f t="array" ref="C12">MIN($B$5,$B$5*(1-COS(PI()*A12/(2*$B$3)))+($B$7*$B$5)*EXP(-0.5*((A12/$B$3-$B$8)/$B$9)^2))</f>
        <v>0.000189547223374218</v>
      </c>
      <c r="D12" s="6"/>
      <c r="E12" s="6"/>
    </row>
    <row r="13" ht="13.55" customHeight="1">
      <c r="A13" s="4" cm="1">
        <f t="array" ref="A13">$B$3*2/200</f>
        <v>0.005</v>
      </c>
      <c r="B13" s="4" cm="1">
        <f t="array" ref="B13">SQRT(MAX((($B$5^2+$B$3^2)/(2*$B$5))^2-($B$3-A13)^2,0))-((($B$5^2+$B$3^2)/(2*$B$5))-$B$5)</f>
        <v>0.000801023890616185</v>
      </c>
      <c r="C13" s="4" cm="1">
        <f t="array" ref="C13">MIN($B$5,$B$5*(1-COS(PI()*A13/(2*$B$3)))+($B$7*$B$5)*EXP(-0.5*((A13/$B$3-$B$8)/$B$9)^2))</f>
        <v>0.000206556834184591</v>
      </c>
      <c r="D13" s="6"/>
      <c r="E13" s="6"/>
    </row>
    <row r="14" ht="13.55" customHeight="1">
      <c r="A14" s="4" cm="1">
        <f t="array" ref="A14">$B$3*3/200</f>
        <v>0.0075</v>
      </c>
      <c r="B14" s="4" cm="1">
        <f t="array" ref="B14">SQRT(MAX((($B$5^2+$B$3^2)/(2*$B$5))^2-($B$3-A14)^2,0))-((($B$5^2+$B$3^2)/(2*$B$5))-$B$5)</f>
        <v>0.00119844021594993</v>
      </c>
      <c r="C14" s="4" cm="1">
        <f t="array" ref="C14">MIN($B$5,$B$5*(1-COS(PI()*A14/(2*$B$3)))+($B$7*$B$5)*EXP(-0.5*((A14/$B$3-$B$8)/$B$9)^2))</f>
        <v>0.000226807579402469</v>
      </c>
      <c r="D14" s="6"/>
      <c r="E14" s="6"/>
    </row>
    <row r="15" ht="13.55" customHeight="1">
      <c r="A15" s="4" cm="1">
        <f t="array" ref="A15">$B$3*4/200</f>
        <v>0.01</v>
      </c>
      <c r="B15" s="4" cm="1">
        <f t="array" ref="B15">SQRT(MAX((($B$5^2+$B$3^2)/(2*$B$5))^2-($B$3-A15)^2,0))-((($B$5^2+$B$3^2)/(2*$B$5))-$B$5)</f>
        <v>0.00159379385203849</v>
      </c>
      <c r="C15" s="4" cm="1">
        <f t="array" ref="C15">MIN($B$5,$B$5*(1-COS(PI()*A15/(2*$B$3)))+($B$7*$B$5)*EXP(-0.5*((A15/$B$3-$B$8)/$B$9)^2))</f>
        <v>0.000250330660680927</v>
      </c>
      <c r="D15" s="6"/>
      <c r="E15" s="6"/>
    </row>
    <row r="16" ht="13.55" customHeight="1">
      <c r="A16" s="4" cm="1">
        <f t="array" ref="A16">$B$3*5/200</f>
        <v>0.0125</v>
      </c>
      <c r="B16" s="4" cm="1">
        <f t="array" ref="B16">SQRT(MAX((($B$5^2+$B$3^2)/(2*$B$5))^2-($B$3-A16)^2,0))-((($B$5^2+$B$3^2)/(2*$B$5))-$B$5)</f>
        <v>0.001987085586292</v>
      </c>
      <c r="C16" s="4" cm="1">
        <f t="array" ref="C16">MIN($B$5,$B$5*(1-COS(PI()*A16/(2*$B$3)))+($B$7*$B$5)*EXP(-0.5*((A16/$B$3-$B$8)/$B$9)^2))</f>
        <v>0.000277157391925826</v>
      </c>
      <c r="D16" s="6"/>
      <c r="E16" s="6"/>
    </row>
    <row r="17" ht="13.55" customHeight="1">
      <c r="A17" s="4" cm="1">
        <f t="array" ref="A17">$B$3*6/200</f>
        <v>0.015</v>
      </c>
      <c r="B17" s="4" cm="1">
        <f t="array" ref="B17">SQRT(MAX((($B$5^2+$B$3^2)/(2*$B$5))^2-($B$3-A17)^2,0))-((($B$5^2+$B$3^2)/(2*$B$5))-$B$5)</f>
        <v>0.00237831620161753</v>
      </c>
      <c r="C17" s="4" cm="1">
        <f t="array" ref="C17">MIN($B$5,$B$5*(1-COS(PI()*A17/(2*$B$3)))+($B$7*$B$5)*EXP(-0.5*((A17/$B$3-$B$8)/$B$9)^2))</f>
        <v>0.000307319115987321</v>
      </c>
      <c r="D17" s="6"/>
      <c r="E17" s="6"/>
    </row>
    <row r="18" ht="13.55" customHeight="1">
      <c r="A18" s="4" cm="1">
        <f t="array" ref="A18">$B$3*7/200</f>
        <v>0.0175</v>
      </c>
      <c r="B18" s="4" cm="1">
        <f t="array" ref="B18">SQRT(MAX((($B$5^2+$B$3^2)/(2*$B$5))^2-($B$3-A18)^2,0))-((($B$5^2+$B$3^2)/(2*$B$5))-$B$5)</f>
        <v>0.00276748647642575</v>
      </c>
      <c r="C18" s="4" cm="1">
        <f t="array" ref="C18">MIN($B$5,$B$5*(1-COS(PI()*A18/(2*$B$3)))+($B$7*$B$5)*EXP(-0.5*((A18/$B$3-$B$8)/$B$9)^2))</f>
        <v>0.000340847114922988</v>
      </c>
      <c r="D18" s="6"/>
      <c r="E18" s="6"/>
    </row>
    <row r="19" ht="13.55" customHeight="1">
      <c r="A19" s="4" cm="1">
        <f t="array" ref="A19">$B$3*8/200</f>
        <v>0.02</v>
      </c>
      <c r="B19" s="4" cm="1">
        <f t="array" ref="B19">SQRT(MAX((($B$5^2+$B$3^2)/(2*$B$5))^2-($B$3-A19)^2,0))-((($B$5^2+$B$3^2)/(2*$B$5))-$B$5)</f>
        <v>0.00315459718463849</v>
      </c>
      <c r="C19" s="4" cm="1">
        <f t="array" ref="C19">MIN($B$5,$B$5*(1-COS(PI()*A19/(2*$B$3)))+($B$7*$B$5)*EXP(-0.5*((A19/$B$3-$B$8)/$B$9)^2))</f>
        <v>0.000377772513822836</v>
      </c>
      <c r="D19" s="6"/>
      <c r="E19" s="6"/>
    </row>
    <row r="20" ht="13.55" customHeight="1">
      <c r="A20" s="4" cm="1">
        <f t="array" ref="A20">$B$3*9/200</f>
        <v>0.0225</v>
      </c>
      <c r="B20" s="4" cm="1">
        <f t="array" ref="B20">SQRT(MAX((($B$5^2+$B$3^2)/(2*$B$5))^2-($B$3-A20)^2,0))-((($B$5^2+$B$3^2)/(2*$B$5))-$B$5)</f>
        <v>0.00353964909569713</v>
      </c>
      <c r="C20" s="4" cm="1">
        <f t="array" ref="C20">MIN($B$5,$B$5*(1-COS(PI()*A20/(2*$B$3)))+($B$7*$B$5)*EXP(-0.5*((A20/$B$3-$B$8)/$B$9)^2))</f>
        <v>0.000418126178222109</v>
      </c>
      <c r="D20" s="6"/>
      <c r="E20" s="6"/>
    </row>
    <row r="21" ht="15.75" customHeight="1">
      <c r="A21" s="4" cm="1">
        <f t="array" ref="A21">$B$3*10/200</f>
        <v>0.025</v>
      </c>
      <c r="B21" s="4" cm="1">
        <f t="array" ref="B21">SQRT(MAX((($B$5^2+$B$3^2)/(2*$B$5))^2-($B$3-A21)^2,0))-((($B$5^2+$B$3^2)/(2*$B$5))-$B$5)</f>
        <v>0.00392264297457244</v>
      </c>
      <c r="C21" s="4" cm="1">
        <f t="array" ref="C21">MIN($B$5,$B$5*(1-COS(PI()*A21/(2*$B$3)))+($B$7*$B$5)*EXP(-0.5*((A21/$B$3-$B$8)/$B$9)^2))</f>
        <v>0.000461938605165001</v>
      </c>
      <c r="D21" s="6"/>
      <c r="E21" s="6"/>
    </row>
    <row r="22" ht="15.75" customHeight="1">
      <c r="A22" s="4" cm="1">
        <f t="array" ref="A22">$B$3*11/200</f>
        <v>0.0275</v>
      </c>
      <c r="B22" s="4" cm="1">
        <f t="array" ref="B22">SQRT(MAX((($B$5^2+$B$3^2)/(2*$B$5))^2-($B$3-A22)^2,0))-((($B$5^2+$B$3^2)/(2*$B$5))-$B$5)</f>
        <v>0.00430357958176895</v>
      </c>
      <c r="C22" s="4" cm="1">
        <f t="array" ref="C22">MIN($B$5,$B$5*(1-COS(PI()*A22/(2*$B$3)))+($B$7*$B$5)*EXP(-0.5*((A22/$B$3-$B$8)/$B$9)^2))</f>
        <v>0.00050923980802225</v>
      </c>
      <c r="D22" s="6"/>
      <c r="E22" s="6"/>
    </row>
    <row r="23" ht="15.75" customHeight="1">
      <c r="A23" s="4" cm="1">
        <f t="array" ref="A23">$B$3*12/200</f>
        <v>0.03</v>
      </c>
      <c r="B23" s="4" cm="1">
        <f t="array" ref="B23">SQRT(MAX((($B$5^2+$B$3^2)/(2*$B$5))^2-($B$3-A23)^2,0))-((($B$5^2+$B$3^2)/(2*$B$5))-$B$5)</f>
        <v>0.00468245967333479</v>
      </c>
      <c r="C23" s="4" cm="1">
        <f t="array" ref="C23">MIN($B$5,$B$5*(1-COS(PI()*A23/(2*$B$3)))+($B$7*$B$5)*EXP(-0.5*((A23/$B$3-$B$8)/$B$9)^2))</f>
        <v>0.000560059195206955</v>
      </c>
      <c r="D23" s="6"/>
      <c r="E23" s="6"/>
    </row>
    <row r="24" ht="15.75" customHeight="1">
      <c r="A24" s="4" cm="1">
        <f t="array" ref="A24">$B$3*13/200</f>
        <v>0.0325</v>
      </c>
      <c r="B24" s="4" cm="1">
        <f t="array" ref="B24">SQRT(MAX((($B$5^2+$B$3^2)/(2*$B$5))^2-($B$3-A24)^2,0))-((($B$5^2+$B$3^2)/(2*$B$5))-$B$5)</f>
        <v>0.00505928400086917</v>
      </c>
      <c r="C24" s="4" cm="1">
        <f t="array" ref="C24">MIN($B$5,$B$5*(1-COS(PI()*A24/(2*$B$3)))+($B$7*$B$5)*EXP(-0.5*((A24/$B$3-$B$8)/$B$9)^2))</f>
        <v>0.000614425442976458</v>
      </c>
      <c r="D24" s="6"/>
      <c r="E24" s="6"/>
    </row>
    <row r="25" ht="15.75" customHeight="1">
      <c r="A25" s="4" cm="1">
        <f t="array" ref="A25">$B$3*14/200</f>
        <v>0.035</v>
      </c>
      <c r="B25" s="4" cm="1">
        <f t="array" ref="B25">SQRT(MAX((($B$5^2+$B$3^2)/(2*$B$5))^2-($B$3-A25)^2,0))-((($B$5^2+$B$3^2)/(2*$B$5))-$B$5)</f>
        <v>0.00543405331153133</v>
      </c>
      <c r="C25" s="4" cm="1">
        <f t="array" ref="C25">MIN($B$5,$B$5*(1-COS(PI()*A25/(2*$B$3)))+($B$7*$B$5)*EXP(-0.5*((A25/$B$3-$B$8)/$B$9)^2))</f>
        <v>0.00067236636255294</v>
      </c>
      <c r="D25" s="6"/>
      <c r="E25" s="6"/>
    </row>
    <row r="26" ht="15.75" customHeight="1">
      <c r="A26" s="4" cm="1">
        <f t="array" ref="A26">$B$3*15/200</f>
        <v>0.0375</v>
      </c>
      <c r="B26" s="4" cm="1">
        <f t="array" ref="B26">SQRT(MAX((($B$5^2+$B$3^2)/(2*$B$5))^2-($B$3-A26)^2,0))-((($B$5^2+$B$3^2)/(2*$B$5))-$B$5)</f>
        <v>0.00580676834804404</v>
      </c>
      <c r="C26" s="4" cm="1">
        <f t="array" ref="C26">MIN($B$5,$B$5*(1-COS(PI()*A26/(2*$B$3)))+($B$7*$B$5)*EXP(-0.5*((A26/$B$3-$B$8)/$B$9)^2))</f>
        <v>0.000733908761841696</v>
      </c>
      <c r="D26" s="6"/>
      <c r="E26" s="6"/>
    </row>
    <row r="27" ht="15.75" customHeight="1">
      <c r="A27" s="4" cm="1">
        <f t="array" ref="A27">$B$3*16/200</f>
        <v>0.04</v>
      </c>
      <c r="B27" s="4" cm="1">
        <f t="array" ref="B27">SQRT(MAX((($B$5^2+$B$3^2)/(2*$B$5))^2-($B$3-A27)^2,0))-((($B$5^2+$B$3^2)/(2*$B$5))-$B$5)</f>
        <v>0.00617742984870604</v>
      </c>
      <c r="C27" s="4" cm="1">
        <f t="array" ref="C27">MIN($B$5,$B$5*(1-COS(PI()*A27/(2*$B$3)))+($B$7*$B$5)*EXP(-0.5*((A27/$B$3-$B$8)/$B$9)^2))</f>
        <v>0.000799078302073461</v>
      </c>
      <c r="D27" s="6"/>
      <c r="E27" s="6"/>
    </row>
    <row r="28" ht="15.75" customHeight="1">
      <c r="A28" s="4" cm="1">
        <f t="array" ref="A28">$B$3*17/200</f>
        <v>0.0425</v>
      </c>
      <c r="B28" s="4" cm="1">
        <f t="array" ref="B28">SQRT(MAX((($B$5^2+$B$3^2)/(2*$B$5))^2-($B$3-A28)^2,0))-((($B$5^2+$B$3^2)/(2*$B$5))-$B$5)</f>
        <v>0.00654603854739742</v>
      </c>
      <c r="C28" s="4" cm="1">
        <f t="array" ref="C28">MIN($B$5,$B$5*(1-COS(PI()*A28/(2*$B$3)))+($B$7*$B$5)*EXP(-0.5*((A28/$B$3-$B$8)/$B$9)^2))</f>
        <v>0.000867899349745406</v>
      </c>
      <c r="D28" s="6"/>
      <c r="E28" s="6"/>
    </row>
    <row r="29" ht="15.75" customHeight="1">
      <c r="A29" s="4" cm="1">
        <f t="array" ref="A29">$B$3*18/200</f>
        <v>0.045</v>
      </c>
      <c r="B29" s="4" cm="1">
        <f t="array" ref="B29">SQRT(MAX((($B$5^2+$B$3^2)/(2*$B$5))^2-($B$3-A29)^2,0))-((($B$5^2+$B$3^2)/(2*$B$5))-$B$5)</f>
        <v>0.00691259517358576</v>
      </c>
      <c r="C29" s="4" cm="1">
        <f t="array" ref="C29">MIN($B$5,$B$5*(1-COS(PI()*A29/(2*$B$3)))+($B$7*$B$5)*EXP(-0.5*((A29/$B$3-$B$8)/$B$9)^2))</f>
        <v>0.000940394824284149</v>
      </c>
      <c r="D29" s="6"/>
      <c r="E29" s="6"/>
    </row>
    <row r="30" ht="15.75" customHeight="1">
      <c r="A30" s="4" cm="1">
        <f t="array" ref="A30">$B$3*19/200</f>
        <v>0.0475</v>
      </c>
      <c r="B30" s="4" cm="1">
        <f t="array" ref="B30">SQRT(MAX((($B$5^2+$B$3^2)/(2*$B$5))^2-($B$3-A30)^2,0))-((($B$5^2+$B$3^2)/(2*$B$5))-$B$5)</f>
        <v>0.00727710045233596</v>
      </c>
      <c r="C30" s="4" cm="1">
        <f t="array" ref="C30">MIN($B$5,$B$5*(1-COS(PI()*A30/(2*$B$3)))+($B$7*$B$5)*EXP(-0.5*((A30/$B$3-$B$8)/$B$9)^2))</f>
        <v>0.00101658604190324</v>
      </c>
      <c r="D30" s="6"/>
      <c r="E30" s="6"/>
    </row>
    <row r="31" ht="15.75" customHeight="1">
      <c r="A31" s="4" cm="1">
        <f t="array" ref="A31">$B$3*20/200</f>
        <v>0.05</v>
      </c>
      <c r="B31" s="4" cm="1">
        <f t="array" ref="B31">SQRT(MAX((($B$5^2+$B$3^2)/(2*$B$5))^2-($B$3-A31)^2,0))-((($B$5^2+$B$3^2)/(2*$B$5))-$B$5)</f>
        <v>0.00763955510431689</v>
      </c>
      <c r="C31" s="4" cm="1">
        <f t="array" ref="C31">MIN($B$5,$B$5*(1-COS(PI()*A31/(2*$B$3)))+($B$7*$B$5)*EXP(-0.5*((A31/$B$3-$B$8)/$B$9)^2))</f>
        <v>0.00109649255617653</v>
      </c>
      <c r="D31" s="6"/>
      <c r="E31" s="6"/>
    </row>
    <row r="32" ht="15.75" customHeight="1">
      <c r="A32" s="4" cm="1">
        <f t="array" ref="A32">$B$3*21/200</f>
        <v>0.0525</v>
      </c>
      <c r="B32" s="4" cm="1">
        <f t="array" ref="B32">SQRT(MAX((($B$5^2+$B$3^2)/(2*$B$5))^2-($B$3-A32)^2,0))-((($B$5^2+$B$3^2)/(2*$B$5))-$B$5)</f>
        <v>0.007999959845807571</v>
      </c>
      <c r="C32" s="4" cm="1">
        <f t="array" ref="C32">MIN($B$5,$B$5*(1-COS(PI()*A32/(2*$B$3)))+($B$7*$B$5)*EXP(-0.5*((A32/$B$3-$B$8)/$B$9)^2))</f>
        <v>0.00118013199589704</v>
      </c>
      <c r="D32" s="6"/>
      <c r="E32" s="6"/>
    </row>
    <row r="33" ht="15.75" customHeight="1">
      <c r="A33" s="4" cm="1">
        <f t="array" ref="A33">$B$3*22/200</f>
        <v>0.055</v>
      </c>
      <c r="B33" s="4" cm="1">
        <f t="array" ref="B33">SQRT(MAX((($B$5^2+$B$3^2)/(2*$B$5))^2-($B$3-A33)^2,0))-((($B$5^2+$B$3^2)/(2*$B$5))-$B$5)</f>
        <v>0.008358315388706111</v>
      </c>
      <c r="C33" s="4" cm="1">
        <f t="array" ref="C33">MIN($B$5,$B$5*(1-COS(PI()*A33/(2*$B$3)))+($B$7*$B$5)*EXP(-0.5*((A33/$B$3-$B$8)/$B$9)^2))</f>
        <v>0.00126751990083918</v>
      </c>
      <c r="D33" s="6"/>
      <c r="E33" s="6"/>
    </row>
    <row r="34" ht="15.75" customHeight="1">
      <c r="A34" s="4" cm="1">
        <f t="array" ref="A34">$B$3*23/200</f>
        <v>0.0575</v>
      </c>
      <c r="B34" s="4" cm="1">
        <f t="array" ref="B34">SQRT(MAX((($B$5^2+$B$3^2)/(2*$B$5))^2-($B$3-A34)^2,0))-((($B$5^2+$B$3^2)/(2*$B$5))-$B$5)</f>
        <v>0.008714622440534539</v>
      </c>
      <c r="C34" s="4" cm="1">
        <f t="array" ref="C34">MIN($B$5,$B$5*(1-COS(PI()*A34/(2*$B$3)))+($B$7*$B$5)*EXP(-0.5*((A34/$B$3-$B$8)/$B$9)^2))</f>
        <v>0.00135866955608781</v>
      </c>
      <c r="D34" s="6"/>
      <c r="E34" s="6"/>
    </row>
    <row r="35" ht="15.75" customHeight="1">
      <c r="A35" s="4" cm="1">
        <f t="array" ref="A35">$B$3*24/200</f>
        <v>0.06</v>
      </c>
      <c r="B35" s="4" cm="1">
        <f t="array" ref="B35">SQRT(MAX((($B$5^2+$B$3^2)/(2*$B$5))^2-($B$3-A35)^2,0))-((($B$5^2+$B$3^2)/(2*$B$5))-$B$5)</f>
        <v>0.00906888170444951</v>
      </c>
      <c r="C35" s="4" cm="1">
        <f t="array" ref="C35">MIN($B$5,$B$5*(1-COS(PI()*A35/(2*$B$3)))+($B$7*$B$5)*EXP(-0.5*((A35/$B$3-$B$8)/$B$9)^2))</f>
        <v>0.00145359182564325</v>
      </c>
      <c r="D35" s="6"/>
      <c r="E35" s="6"/>
    </row>
    <row r="36" ht="15.75" customHeight="1">
      <c r="A36" s="4" cm="1">
        <f t="array" ref="A36">$B$3*25/200</f>
        <v>0.0625</v>
      </c>
      <c r="B36" s="4" cm="1">
        <f t="array" ref="B36">SQRT(MAX((($B$5^2+$B$3^2)/(2*$B$5))^2-($B$3-A36)^2,0))-((($B$5^2+$B$3^2)/(2*$B$5))-$B$5)</f>
        <v>0.009421093879246259</v>
      </c>
      <c r="C36" s="4" cm="1">
        <f t="array" ref="C36">MIN($B$5,$B$5*(1-COS(PI()*A36/(2*$B$3)))+($B$7*$B$5)*EXP(-0.5*((A36/$B$3-$B$8)/$B$9)^2))</f>
        <v>0.00155229498605358</v>
      </c>
      <c r="D36" s="6"/>
      <c r="E36" s="6"/>
    </row>
    <row r="37" ht="15.75" customHeight="1">
      <c r="A37" s="4" cm="1">
        <f t="array" ref="A37">$B$3*26/200</f>
        <v>0.065</v>
      </c>
      <c r="B37" s="4" cm="1">
        <f t="array" ref="B37">SQRT(MAX((($B$5^2+$B$3^2)/(2*$B$5))^2-($B$3-A37)^2,0))-((($B$5^2+$B$3^2)/(2*$B$5))-$B$5)</f>
        <v>0.009771259659367071</v>
      </c>
      <c r="C37" s="4" cm="1">
        <f t="array" ref="C37">MIN($B$5,$B$5*(1-COS(PI()*A37/(2*$B$3)))+($B$7*$B$5)*EXP(-0.5*((A37/$B$3-$B$8)/$B$9)^2))</f>
        <v>0.00165478456086616</v>
      </c>
      <c r="D37" s="6"/>
      <c r="E37" s="6"/>
    </row>
    <row r="38" ht="15.75" customHeight="1">
      <c r="A38" s="4" cm="1">
        <f t="array" ref="A38">$B$3*27/200</f>
        <v>0.0675</v>
      </c>
      <c r="B38" s="4" cm="1">
        <f t="array" ref="B38">SQRT(MAX((($B$5^2+$B$3^2)/(2*$B$5))^2-($B$3-A38)^2,0))-((($B$5^2+$B$3^2)/(2*$B$5))-$B$5)</f>
        <v>0.0101193797349084</v>
      </c>
      <c r="C38" s="4" cm="1">
        <f t="array" ref="C38">MIN($B$5,$B$5*(1-COS(PI()*A38/(2*$B$3)))+($B$7*$B$5)*EXP(-0.5*((A38/$B$3-$B$8)/$B$9)^2))</f>
        <v>0.00176106315672792</v>
      </c>
      <c r="D38" s="6"/>
      <c r="E38" s="6"/>
    </row>
    <row r="39" ht="15.75" customHeight="1">
      <c r="A39" s="4" cm="1">
        <f t="array" ref="A39">$B$3*28/200</f>
        <v>0.07000000000000001</v>
      </c>
      <c r="B39" s="4" cm="1">
        <f t="array" ref="B39">SQRT(MAX((($B$5^2+$B$3^2)/(2*$B$5))^2-($B$3-A39)^2,0))-((($B$5^2+$B$3^2)/(2*$B$5))-$B$5)</f>
        <v>0.010465454791627</v>
      </c>
      <c r="C39" s="4" cm="1">
        <f t="array" ref="C39">MIN($B$5,$B$5*(1-COS(PI()*A39/(2*$B$3)))+($B$7*$B$5)*EXP(-0.5*((A39/$B$3-$B$8)/$B$9)^2))</f>
        <v>0.00187113030199794</v>
      </c>
      <c r="D39" s="6"/>
      <c r="E39" s="6"/>
    </row>
    <row r="40" ht="15.75" customHeight="1">
      <c r="A40" s="4" cm="1">
        <f t="array" ref="A40">$B$3*29/200</f>
        <v>0.0725</v>
      </c>
      <c r="B40" s="4" cm="1">
        <f t="array" ref="B40">SQRT(MAX((($B$5^2+$B$3^2)/(2*$B$5))^2-($B$3-A40)^2,0))-((($B$5^2+$B$3^2)/(2*$B$5))-$B$5)</f>
        <v>0.0108094855109484</v>
      </c>
      <c r="C40" s="4" cm="1">
        <f t="array" ref="C40">MIN($B$5,$B$5*(1-COS(PI()*A40/(2*$B$3)))+($B$7*$B$5)*EXP(-0.5*((A40/$B$3-$B$8)/$B$9)^2))</f>
        <v>0.00198498228876663</v>
      </c>
      <c r="D40" s="6"/>
      <c r="E40" s="6"/>
    </row>
    <row r="41" ht="15.75" customHeight="1">
      <c r="A41" s="4" cm="1">
        <f t="array" ref="A41">$B$3*30/200</f>
        <v>0.075</v>
      </c>
      <c r="B41" s="4" cm="1">
        <f t="array" ref="B41">SQRT(MAX((($B$5^2+$B$3^2)/(2*$B$5))^2-($B$3-A41)^2,0))-((($B$5^2+$B$3^2)/(2*$B$5))-$B$5)</f>
        <v>0.0111514725699715</v>
      </c>
      <c r="C41" s="4" cm="1">
        <f t="array" ref="C41">MIN($B$5,$B$5*(1-COS(PI()*A41/(2*$B$3)))+($B$7*$B$5)*EXP(-0.5*((A41/$B$3-$B$8)/$B$9)^2))</f>
        <v>0.00210261201920212</v>
      </c>
      <c r="D41" s="6"/>
      <c r="E41" s="6"/>
    </row>
    <row r="42" ht="15.75" customHeight="1">
      <c r="A42" s="4" cm="1">
        <f t="array" ref="A42">$B$3*31/200</f>
        <v>0.0775</v>
      </c>
      <c r="B42" s="4" cm="1">
        <f t="array" ref="B42">SQRT(MAX((($B$5^2+$B$3^2)/(2*$B$5))^2-($B$3-A42)^2,0))-((($B$5^2+$B$3^2)/(2*$B$5))-$B$5)</f>
        <v>0.0114914166414772</v>
      </c>
      <c r="C42" s="4" cm="1">
        <f t="array" ref="C42">MIN($B$5,$B$5*(1-COS(PI()*A42/(2*$B$3)))+($B$7*$B$5)*EXP(-0.5*((A42/$B$3-$B$8)/$B$9)^2))</f>
        <v>0.00222400885716654</v>
      </c>
      <c r="D42" s="6"/>
      <c r="E42" s="6"/>
    </row>
    <row r="43" ht="15.75" customHeight="1">
      <c r="A43" s="4" cm="1">
        <f t="array" ref="A43">$B$3*32/200</f>
        <v>0.08</v>
      </c>
      <c r="B43" s="4" cm="1">
        <f t="array" ref="B43">SQRT(MAX((($B$5^2+$B$3^2)/(2*$B$5))^2-($B$3-A43)^2,0))-((($B$5^2+$B$3^2)/(2*$B$5))-$B$5)</f>
        <v>0.0118293183939348</v>
      </c>
      <c r="C43" s="4" cm="1">
        <f t="array" ref="C43">MIN($B$5,$B$5*(1-COS(PI()*A43/(2*$B$3)))+($B$7*$B$5)*EXP(-0.5*((A43/$B$3-$B$8)/$B$9)^2))</f>
        <v>0.00234915848606187</v>
      </c>
      <c r="D43" s="6"/>
      <c r="E43" s="6"/>
    </row>
    <row r="44" ht="15.75" customHeight="1">
      <c r="A44" s="4" cm="1">
        <f t="array" ref="A44">$B$3*33/200</f>
        <v>0.0825</v>
      </c>
      <c r="B44" s="4" cm="1">
        <f t="array" ref="B44">SQRT(MAX((($B$5^2+$B$3^2)/(2*$B$5))^2-($B$3-A44)^2,0))-((($B$5^2+$B$3^2)/(2*$B$5))-$B$5)</f>
        <v>0.0121651784915086</v>
      </c>
      <c r="C44" s="4" cm="1">
        <f t="array" ref="C44">MIN($B$5,$B$5*(1-COS(PI()*A44/(2*$B$3)))+($B$7*$B$5)*EXP(-0.5*((A44/$B$3-$B$8)/$B$9)^2))</f>
        <v>0.00247804277387699</v>
      </c>
      <c r="D44" s="6"/>
      <c r="E44" s="6"/>
    </row>
    <row r="45" ht="15.75" customHeight="1">
      <c r="A45" s="4" cm="1">
        <f t="array" ref="A45">$B$3*34/200</f>
        <v>0.08500000000000001</v>
      </c>
      <c r="B45" s="4" cm="1">
        <f t="array" ref="B45">SQRT(MAX((($B$5^2+$B$3^2)/(2*$B$5))^2-($B$3-A45)^2,0))-((($B$5^2+$B$3^2)/(2*$B$5))-$B$5)</f>
        <v>0.0124989975940655</v>
      </c>
      <c r="C45" s="4" cm="1">
        <f t="array" ref="C45">MIN($B$5,$B$5*(1-COS(PI()*A45/(2*$B$3)))+($B$7*$B$5)*EXP(-0.5*((A45/$B$3-$B$8)/$B$9)^2))</f>
        <v>0.00261063964641376</v>
      </c>
      <c r="D45" s="6"/>
      <c r="E45" s="6"/>
    </row>
    <row r="46" ht="15.75" customHeight="1">
      <c r="A46" s="4" cm="1">
        <f t="array" ref="A46">$B$3*35/200</f>
        <v>0.08749999999999999</v>
      </c>
      <c r="B46" s="4" cm="1">
        <f t="array" ref="B46">SQRT(MAX((($B$5^2+$B$3^2)/(2*$B$5))^2-($B$3-A46)^2,0))-((($B$5^2+$B$3^2)/(2*$B$5))-$B$5)</f>
        <v>0.0128307763571778</v>
      </c>
      <c r="C46" s="4" cm="1">
        <f t="array" ref="C46">MIN($B$5,$B$5*(1-COS(PI()*A46/(2*$B$3)))+($B$7*$B$5)*EXP(-0.5*((A46/$B$3-$B$8)/$B$9)^2))</f>
        <v>0.00274692296967057</v>
      </c>
      <c r="D46" s="6"/>
      <c r="E46" s="6"/>
    </row>
    <row r="47" ht="15.75" customHeight="1">
      <c r="A47" s="4" cm="1">
        <f t="array" ref="A47">$B$3*36/200</f>
        <v>0.09</v>
      </c>
      <c r="B47" s="4" cm="1">
        <f t="array" ref="B47">SQRT(MAX((($B$5^2+$B$3^2)/(2*$B$5))^2-($B$3-A47)^2,0))-((($B$5^2+$B$3^2)/(2*$B$5))-$B$5)</f>
        <v>0.0131605154321352</v>
      </c>
      <c r="C47" s="4" cm="1">
        <f t="array" ref="C47">MIN($B$5,$B$5*(1-COS(PI()*A47/(2*$B$3)))+($B$7*$B$5)*EXP(-0.5*((A47/$B$3-$B$8)/$B$9)^2))</f>
        <v>0.00288686244235568</v>
      </c>
      <c r="D47" s="6"/>
      <c r="E47" s="6"/>
    </row>
    <row r="48" ht="15.75" customHeight="1">
      <c r="A48" s="4" cm="1">
        <f t="array" ref="A48">$B$3*37/200</f>
        <v>0.0925</v>
      </c>
      <c r="B48" s="4" cm="1">
        <f t="array" ref="B48">SQRT(MAX((($B$5^2+$B$3^2)/(2*$B$5))^2-($B$3-A48)^2,0))-((($B$5^2+$B$3^2)/(2*$B$5))-$B$5)</f>
        <v>0.0134882154659492</v>
      </c>
      <c r="C48" s="4" cm="1">
        <f t="array" ref="C48">MIN($B$5,$B$5*(1-COS(PI()*A48/(2*$B$3)))+($B$7*$B$5)*EXP(-0.5*((A48/$B$3-$B$8)/$B$9)^2))</f>
        <v>0.00303042349949114</v>
      </c>
      <c r="D48" s="6"/>
      <c r="E48" s="6"/>
    </row>
    <row r="49" ht="15.75" customHeight="1">
      <c r="A49" s="4" cm="1">
        <f t="array" ref="A49">$B$3*38/200</f>
        <v>0.095</v>
      </c>
      <c r="B49" s="4" cm="1">
        <f t="array" ref="B49">SQRT(MAX((($B$5^2+$B$3^2)/(2*$B$5))^2-($B$3-A49)^2,0))-((($B$5^2+$B$3^2)/(2*$B$5))-$B$5)</f>
        <v>0.0138138771013572</v>
      </c>
      <c r="C49" s="4" cm="1">
        <f t="array" ref="C49">MIN($B$5,$B$5*(1-COS(PI()*A49/(2*$B$3)))+($B$7*$B$5)*EXP(-0.5*((A49/$B$3-$B$8)/$B$9)^2))</f>
        <v>0.00317756722804878</v>
      </c>
      <c r="D49" s="6"/>
      <c r="E49" s="6"/>
    </row>
    <row r="50" ht="15.75" customHeight="1">
      <c r="A50" s="4" cm="1">
        <f t="array" ref="A50">$B$3*39/200</f>
        <v>0.0975</v>
      </c>
      <c r="B50" s="4" cm="1">
        <f t="array" ref="B50">SQRT(MAX((($B$5^2+$B$3^2)/(2*$B$5))^2-($B$3-A50)^2,0))-((($B$5^2+$B$3^2)/(2*$B$5))-$B$5)</f>
        <v>0.0141375009768327</v>
      </c>
      <c r="C50" s="4" cm="1">
        <f t="array" ref="C50">MIN($B$5,$B$5*(1-COS(PI()*A50/(2*$B$3)))+($B$7*$B$5)*EXP(-0.5*((A50/$B$3-$B$8)/$B$9)^2))</f>
        <v>0.00332825029553465</v>
      </c>
      <c r="D50" s="6"/>
      <c r="E50" s="6"/>
    </row>
    <row r="51" ht="15.75" customHeight="1">
      <c r="A51" s="4" cm="1">
        <f t="array" ref="A51">$B$3*40/200</f>
        <v>0.1</v>
      </c>
      <c r="B51" s="4" cm="1">
        <f t="array" ref="B51">SQRT(MAX((($B$5^2+$B$3^2)/(2*$B$5))^2-($B$3-A51)^2,0))-((($B$5^2+$B$3^2)/(2*$B$5))-$B$5)</f>
        <v>0.0144590877265886</v>
      </c>
      <c r="C51" s="4" cm="1">
        <f t="array" ref="C51">MIN($B$5,$B$5*(1-COS(PI()*A51/(2*$B$3)))+($B$7*$B$5)*EXP(-0.5*((A51/$B$3-$B$8)/$B$9)^2))</f>
        <v>0.00348242489240583</v>
      </c>
      <c r="D51" s="6"/>
      <c r="E51" s="6"/>
    </row>
    <row r="52" ht="15.75" customHeight="1">
      <c r="A52" s="4" cm="1">
        <f t="array" ref="A52">$B$3*41/200</f>
        <v>0.1025</v>
      </c>
      <c r="B52" s="4" cm="1">
        <f t="array" ref="B52">SQRT(MAX((($B$5^2+$B$3^2)/(2*$B$5))^2-($B$3-A52)^2,0))-((($B$5^2+$B$3^2)/(2*$B$5))-$B$5)</f>
        <v>0.0147786379805863</v>
      </c>
      <c r="C52" s="4" cm="1">
        <f t="array" ref="C52">MIN($B$5,$B$5*(1-COS(PI()*A52/(2*$B$3)))+($B$7*$B$5)*EXP(-0.5*((A52/$B$3-$B$8)/$B$9)^2))</f>
        <v>0.0036400386891644</v>
      </c>
      <c r="D52" s="6"/>
      <c r="E52" s="6"/>
    </row>
    <row r="53" ht="15.75" customHeight="1">
      <c r="A53" s="4" cm="1">
        <f t="array" ref="A53">$B$3*42/200</f>
        <v>0.105</v>
      </c>
      <c r="B53" s="4" cm="1">
        <f t="array" ref="B53">SQRT(MAX((($B$5^2+$B$3^2)/(2*$B$5))^2-($B$3-A53)^2,0))-((($B$5^2+$B$3^2)/(2*$B$5))-$B$5)</f>
        <v>0.015096152364539</v>
      </c>
      <c r="C53" s="4" cm="1">
        <f t="array" ref="C53">MIN($B$5,$B$5*(1-COS(PI()*A53/(2*$B$3)))+($B$7*$B$5)*EXP(-0.5*((A53/$B$3-$B$8)/$B$9)^2))</f>
        <v>0.00380103480892694</v>
      </c>
      <c r="D53" s="6"/>
      <c r="E53" s="6"/>
    </row>
    <row r="54" ht="15.75" customHeight="1">
      <c r="A54" s="4" cm="1">
        <f t="array" ref="A54">$B$3*43/200</f>
        <v>0.1075</v>
      </c>
      <c r="B54" s="4" cm="1">
        <f t="array" ref="B54">SQRT(MAX((($B$5^2+$B$3^2)/(2*$B$5))^2-($B$3-A54)^2,0))-((($B$5^2+$B$3^2)/(2*$B$5))-$B$5)</f>
        <v>0.0154116314999215</v>
      </c>
      <c r="C54" s="4" cm="1">
        <f t="array" ref="C54">MIN($B$5,$B$5*(1-COS(PI()*A54/(2*$B$3)))+($B$7*$B$5)*EXP(-0.5*((A54/$B$3-$B$8)/$B$9)^2))</f>
        <v>0.00396535181621501</v>
      </c>
      <c r="D54" s="6"/>
      <c r="E54" s="6"/>
    </row>
    <row r="55" ht="15.75" customHeight="1">
      <c r="A55" s="4" cm="1">
        <f t="array" ref="A55">$B$3*44/200</f>
        <v>0.11</v>
      </c>
      <c r="B55" s="4" cm="1">
        <f t="array" ref="B55">SQRT(MAX((($B$5^2+$B$3^2)/(2*$B$5))^2-($B$3-A55)^2,0))-((($B$5^2+$B$3^2)/(2*$B$5))-$B$5)</f>
        <v>0.0157250760039726</v>
      </c>
      <c r="C55" s="4" cm="1">
        <f t="array" ref="C55">MIN($B$5,$B$5*(1-COS(PI()*A55/(2*$B$3)))+($B$7*$B$5)*EXP(-0.5*((A55/$B$3-$B$8)/$B$9)^2))</f>
        <v>0.00413292372265228</v>
      </c>
      <c r="D55" s="6"/>
      <c r="E55" s="6"/>
    </row>
    <row r="56" ht="15.75" customHeight="1">
      <c r="A56" s="4" cm="1">
        <f t="array" ref="A56">$B$3*45/200</f>
        <v>0.1125</v>
      </c>
      <c r="B56" s="4" cm="1">
        <f t="array" ref="B56">SQRT(MAX((($B$5^2+$B$3^2)/(2*$B$5))^2-($B$3-A56)^2,0))-((($B$5^2+$B$3^2)/(2*$B$5))-$B$5)</f>
        <v>0.0160364864897047</v>
      </c>
      <c r="C56" s="4" cm="1">
        <f t="array" ref="C56">MIN($B$5,$B$5*(1-COS(PI()*A56/(2*$B$3)))+($B$7*$B$5)*EXP(-0.5*((A56/$B$3-$B$8)/$B$9)^2))</f>
        <v>0.00430368001018709</v>
      </c>
      <c r="D56" s="6"/>
      <c r="E56" s="6"/>
    </row>
    <row r="57" ht="15.75" customHeight="1">
      <c r="A57" s="4" cm="1">
        <f t="array" ref="A57">$B$3*46/200</f>
        <v>0.115</v>
      </c>
      <c r="B57" s="4" cm="1">
        <f t="array" ref="B57">SQRT(MAX((($B$5^2+$B$3^2)/(2*$B$5))^2-($B$3-A57)^2,0))-((($B$5^2+$B$3^2)/(2*$B$5))-$B$5)</f>
        <v>0.0163458635659075</v>
      </c>
      <c r="C57" s="4" cm="1">
        <f t="array" ref="C57">MIN($B$5,$B$5*(1-COS(PI()*A57/(2*$B$3)))+($B$7*$B$5)*EXP(-0.5*((A57/$B$3-$B$8)/$B$9)^2))</f>
        <v>0.00447754567238677</v>
      </c>
      <c r="D57" s="6"/>
      <c r="E57" s="6"/>
    </row>
    <row r="58" ht="15.75" customHeight="1">
      <c r="A58" s="4" cm="1">
        <f t="array" ref="A58">$B$3*47/200</f>
        <v>0.1175</v>
      </c>
      <c r="B58" s="4" cm="1">
        <f t="array" ref="B58">SQRT(MAX((($B$5^2+$B$3^2)/(2*$B$5))^2-($B$3-A58)^2,0))-((($B$5^2+$B$3^2)/(2*$B$5))-$B$5)</f>
        <v>0.0166532078371553</v>
      </c>
      <c r="C58" s="4" cm="1">
        <f t="array" ref="C58">MIN($B$5,$B$5*(1-COS(PI()*A58/(2*$B$3)))+($B$7*$B$5)*EXP(-0.5*((A58/$B$3-$B$8)/$B$9)^2))</f>
        <v>0.00465444127427039</v>
      </c>
      <c r="D58" s="6"/>
      <c r="E58" s="6"/>
    </row>
    <row r="59" ht="15.75" customHeight="1">
      <c r="A59" s="4" cm="1">
        <f t="array" ref="A59">$B$3*48/200</f>
        <v>0.12</v>
      </c>
      <c r="B59" s="4" cm="1">
        <f t="array" ref="B59">SQRT(MAX((($B$5^2+$B$3^2)/(2*$B$5))^2-($B$3-A59)^2,0))-((($B$5^2+$B$3^2)/(2*$B$5))-$B$5)</f>
        <v>0.0169585199038122</v>
      </c>
      <c r="C59" s="4" cm="1">
        <f t="array" ref="C59">MIN($B$5,$B$5*(1-COS(PI()*A59/(2*$B$3)))+($B$7*$B$5)*EXP(-0.5*((A59/$B$3-$B$8)/$B$9)^2))</f>
        <v>0.00483428303106235</v>
      </c>
      <c r="D59" s="6"/>
      <c r="E59" s="6"/>
    </row>
    <row r="60" ht="15.75" customHeight="1">
      <c r="A60" s="4" cm="1">
        <f t="array" ref="A60">$B$3*49/200</f>
        <v>0.1225</v>
      </c>
      <c r="B60" s="4" cm="1">
        <f t="array" ref="B60">SQRT(MAX((($B$5^2+$B$3^2)/(2*$B$5))^2-($B$3-A60)^2,0))-((($B$5^2+$B$3^2)/(2*$B$5))-$B$5)</f>
        <v>0.0172618003620388</v>
      </c>
      <c r="C60" s="4" cm="1">
        <f t="array" ref="C60">MIN($B$5,$B$5*(1-COS(PI()*A60/(2*$B$3)))+($B$7*$B$5)*EXP(-0.5*((A60/$B$3-$B$8)/$B$9)^2))</f>
        <v>0.00501698290615816</v>
      </c>
      <c r="D60" s="6"/>
      <c r="E60" s="6"/>
    </row>
    <row r="61" ht="15.75" customHeight="1">
      <c r="A61" s="4" cm="1">
        <f t="array" ref="A61">$B$3*50/200</f>
        <v>0.125</v>
      </c>
      <c r="B61" s="4" cm="1">
        <f t="array" ref="B61">SQRT(MAX((($B$5^2+$B$3^2)/(2*$B$5))^2-($B$3-A61)^2,0))-((($B$5^2+$B$3^2)/(2*$B$5))-$B$5)</f>
        <v>0.0175630498037988</v>
      </c>
      <c r="C61" s="4" cm="1">
        <f t="array" ref="C61">MIN($B$5,$B$5*(1-COS(PI()*A61/(2*$B$3)))+($B$7*$B$5)*EXP(-0.5*((A61/$B$3-$B$8)/$B$9)^2))</f>
        <v>0.00520244872849904</v>
      </c>
      <c r="D61" s="6"/>
      <c r="E61" s="6"/>
    </row>
    <row r="62" ht="15.75" customHeight="1">
      <c r="A62" s="4" cm="1">
        <f t="array" ref="A62">$B$3*51/200</f>
        <v>0.1275</v>
      </c>
      <c r="B62" s="4" cm="1">
        <f t="array" ref="B62">SQRT(MAX((($B$5^2+$B$3^2)/(2*$B$5))^2-($B$3-A62)^2,0))-((($B$5^2+$B$3^2)/(2*$B$5))-$B$5)</f>
        <v>0.0178622688168621</v>
      </c>
      <c r="C62" s="4" cm="1">
        <f t="array" ref="C62">MIN($B$5,$B$5*(1-COS(PI()*A62/(2*$B$3)))+($B$7*$B$5)*EXP(-0.5*((A62/$B$3-$B$8)/$B$9)^2))</f>
        <v>0.00539058432945178</v>
      </c>
      <c r="D62" s="6"/>
      <c r="E62" s="6"/>
    </row>
    <row r="63" ht="15.75" customHeight="1">
      <c r="A63" s="4" cm="1">
        <f t="array" ref="A63">$B$3*52/200</f>
        <v>0.13</v>
      </c>
      <c r="B63" s="4" cm="1">
        <f t="array" ref="B63">SQRT(MAX((($B$5^2+$B$3^2)/(2*$B$5))^2-($B$3-A63)^2,0))-((($B$5^2+$B$3^2)/(2*$B$5))-$B$5)</f>
        <v>0.0181594579848143</v>
      </c>
      <c r="C63" s="4" cm="1">
        <f t="array" ref="C63">MIN($B$5,$B$5*(1-COS(PI()*A63/(2*$B$3)))+($B$7*$B$5)*EXP(-0.5*((A63/$B$3-$B$8)/$B$9)^2))</f>
        <v>0.00558128969918673</v>
      </c>
      <c r="D63" s="6"/>
      <c r="E63" s="6"/>
    </row>
    <row r="64" ht="15.75" customHeight="1">
      <c r="A64" s="4" cm="1">
        <f t="array" ref="A64">$B$3*53/200</f>
        <v>0.1325</v>
      </c>
      <c r="B64" s="4" cm="1">
        <f t="array" ref="B64">SQRT(MAX((($B$5^2+$B$3^2)/(2*$B$5))^2-($B$3-A64)^2,0))-((($B$5^2+$B$3^2)/(2*$B$5))-$B$5)</f>
        <v>0.0184546178870604</v>
      </c>
      <c r="C64" s="4" cm="1">
        <f t="array" ref="C64">MIN($B$5,$B$5*(1-COS(PI()*A64/(2*$B$3)))+($B$7*$B$5)*EXP(-0.5*((A64/$B$3-$B$8)/$B$9)^2))</f>
        <v>0.00577446116243951</v>
      </c>
      <c r="D64" s="6"/>
      <c r="E64" s="6"/>
    </row>
    <row r="65" ht="15.75" customHeight="1">
      <c r="A65" s="4" cm="1">
        <f t="array" ref="A65">$B$3*54/200</f>
        <v>0.135</v>
      </c>
      <c r="B65" s="4" cm="1">
        <f t="array" ref="B65">SQRT(MAX((($B$5^2+$B$3^2)/(2*$B$5))^2-($B$3-A65)^2,0))-((($B$5^2+$B$3^2)/(2*$B$5))-$B$5)</f>
        <v>0.018747749098829</v>
      </c>
      <c r="C65" s="4" cm="1">
        <f t="array" ref="C65">MIN($B$5,$B$5*(1-COS(PI()*A65/(2*$B$3)))+($B$7*$B$5)*EXP(-0.5*((A65/$B$3-$B$8)/$B$9)^2))</f>
        <v>0.00596999157343272</v>
      </c>
      <c r="D65" s="6"/>
      <c r="E65" s="6"/>
    </row>
    <row r="66" ht="15.75" customHeight="1">
      <c r="A66" s="4" cm="1">
        <f t="array" ref="A66">$B$3*55/200</f>
        <v>0.1375</v>
      </c>
      <c r="B66" s="4" cm="1">
        <f t="array" ref="B66">SQRT(MAX((($B$5^2+$B$3^2)/(2*$B$5))^2-($B$3-A66)^2,0))-((($B$5^2+$B$3^2)/(2*$B$5))-$B$5)</f>
        <v>0.0190388521911826</v>
      </c>
      <c r="C66" s="4" cm="1">
        <f t="array" ref="C66">MIN($B$5,$B$5*(1-COS(PI()*A66/(2*$B$3)))+($B$7*$B$5)*EXP(-0.5*((A66/$B$3-$B$8)/$B$9)^2))</f>
        <v>0.00616777052962149</v>
      </c>
      <c r="D66" s="6"/>
      <c r="E66" s="6"/>
    </row>
    <row r="67" ht="15.75" customHeight="1">
      <c r="A67" s="4" cm="1">
        <f t="array" ref="A67">$B$3*56/200</f>
        <v>0.14</v>
      </c>
      <c r="B67" s="4" cm="1">
        <f t="array" ref="B67">SQRT(MAX((($B$5^2+$B$3^2)/(2*$B$5))^2-($B$3-A67)^2,0))-((($B$5^2+$B$3^2)/(2*$B$5))-$B$5)</f>
        <v>0.0193279277310187</v>
      </c>
      <c r="C67" s="4" cm="1">
        <f t="array" ref="C67">MIN($B$5,$B$5*(1-COS(PI()*A67/(2*$B$3)))+($B$7*$B$5)*EXP(-0.5*((A67/$B$3-$B$8)/$B$9)^2))</f>
        <v>0.00636768460381439</v>
      </c>
      <c r="D67" s="6"/>
      <c r="E67" s="6"/>
    </row>
    <row r="68" ht="15.75" customHeight="1">
      <c r="A68" s="4" cm="1">
        <f t="array" ref="A68">$B$3*57/200</f>
        <v>0.1425</v>
      </c>
      <c r="B68" s="4" cm="1">
        <f t="array" ref="B68">SQRT(MAX((($B$5^2+$B$3^2)/(2*$B$5))^2-($B$3-A68)^2,0))-((($B$5^2+$B$3^2)/(2*$B$5))-$B$5)</f>
        <v>0.0196149762810775</v>
      </c>
      <c r="C68" s="4" cm="1">
        <f t="array" ref="C68">MIN($B$5,$B$5*(1-COS(PI()*A68/(2*$B$3)))+($B$7*$B$5)*EXP(-0.5*((A68/$B$3-$B$8)/$B$9)^2))</f>
        <v>0.00656961759410725</v>
      </c>
      <c r="D68" s="6"/>
      <c r="E68" s="6"/>
    </row>
    <row r="69" ht="15.75" customHeight="1">
      <c r="A69" s="4" cm="1">
        <f t="array" ref="A69">$B$3*58/200</f>
        <v>0.145</v>
      </c>
      <c r="B69" s="4" cm="1">
        <f t="array" ref="B69">SQRT(MAX((($B$5^2+$B$3^2)/(2*$B$5))^2-($B$3-A69)^2,0))-((($B$5^2+$B$3^2)/(2*$B$5))-$B$5)</f>
        <v>0.019899998399949</v>
      </c>
      <c r="C69" s="4" cm="1">
        <f t="array" ref="C69">MIN($B$5,$B$5*(1-COS(PI()*A69/(2*$B$3)))+($B$7*$B$5)*EXP(-0.5*((A69/$B$3-$B$8)/$B$9)^2))</f>
        <v>0.00677345079095428</v>
      </c>
      <c r="D69" s="6"/>
      <c r="E69" s="6"/>
    </row>
    <row r="70" ht="15.75" customHeight="1">
      <c r="A70" s="4" cm="1">
        <f t="array" ref="A70">$B$3*59/200</f>
        <v>0.1475</v>
      </c>
      <c r="B70" s="4" cm="1">
        <f t="array" ref="B70">SQRT(MAX((($B$5^2+$B$3^2)/(2*$B$5))^2-($B$3-A70)^2,0))-((($B$5^2+$B$3^2)/(2*$B$5))-$B$5)</f>
        <v>0.0201829946420737</v>
      </c>
      <c r="C70" s="4" cm="1">
        <f t="array" ref="C70">MIN($B$5,$B$5*(1-COS(PI()*A70/(2*$B$3)))+($B$7*$B$5)*EXP(-0.5*((A70/$B$3-$B$8)/$B$9)^2))</f>
        <v>0.00697906326058891</v>
      </c>
      <c r="D70" s="6"/>
      <c r="E70" s="6"/>
    </row>
    <row r="71" ht="15.75" customHeight="1">
      <c r="A71" s="4" cm="1">
        <f t="array" ref="A71">$B$3*60/200</f>
        <v>0.15</v>
      </c>
      <c r="B71" s="4" cm="1">
        <f t="array" ref="B71">SQRT(MAX((($B$5^2+$B$3^2)/(2*$B$5))^2-($B$3-A71)^2,0))-((($B$5^2+$B$3^2)/(2*$B$5))-$B$5)</f>
        <v>0.0204639655577536</v>
      </c>
      <c r="C71" s="4" cm="1">
        <f t="array" ref="C71">MIN($B$5,$B$5*(1-COS(PI()*A71/(2*$B$3)))+($B$7*$B$5)*EXP(-0.5*((A71/$B$3-$B$8)/$B$9)^2))</f>
        <v>0.00718633214389615</v>
      </c>
      <c r="D71" s="6"/>
      <c r="E71" s="6"/>
    </row>
    <row r="72" ht="15.75" customHeight="1">
      <c r="A72" s="4" cm="1">
        <f t="array" ref="A72">$B$3*61/200</f>
        <v>0.1525</v>
      </c>
      <c r="B72" s="4" cm="1">
        <f t="array" ref="B72">SQRT(MAX((($B$5^2+$B$3^2)/(2*$B$5))^2-($B$3-A72)^2,0))-((($B$5^2+$B$3^2)/(2*$B$5))-$B$5)</f>
        <v>0.020742911693155</v>
      </c>
      <c r="C72" s="4" cm="1">
        <f t="array" ref="C72">MIN($B$5,$B$5*(1-COS(PI()*A72/(2*$B$3)))+($B$7*$B$5)*EXP(-0.5*((A72/$B$3-$B$8)/$B$9)^2))</f>
        <v>0.00739513296973102</v>
      </c>
      <c r="D72" s="6"/>
      <c r="E72" s="6"/>
    </row>
    <row r="73" ht="15.75" customHeight="1">
      <c r="A73" s="4" cm="1">
        <f t="array" ref="A73">$B$3*62/200</f>
        <v>0.155</v>
      </c>
      <c r="B73" s="4" cm="1">
        <f t="array" ref="B73">SQRT(MAX((($B$5^2+$B$3^2)/(2*$B$5))^2-($B$3-A73)^2,0))-((($B$5^2+$B$3^2)/(2*$B$5))-$B$5)</f>
        <v>0.0210198335903118</v>
      </c>
      <c r="C73" s="4" cm="1">
        <f t="array" ref="C73">MIN($B$5,$B$5*(1-COS(PI()*A73/(2*$B$3)))+($B$7*$B$5)*EXP(-0.5*((A73/$B$3-$B$8)/$B$9)^2))</f>
        <v>0.0076053399815735</v>
      </c>
      <c r="D73" s="6"/>
      <c r="E73" s="6"/>
    </row>
    <row r="74" ht="15.75" customHeight="1">
      <c r="A74" s="4" cm="1">
        <f t="array" ref="A74">$B$3*63/200</f>
        <v>0.1575</v>
      </c>
      <c r="B74" s="4" cm="1">
        <f t="array" ref="B74">SQRT(MAX((($B$5^2+$B$3^2)/(2*$B$5))^2-($B$3-A74)^2,0))-((($B$5^2+$B$3^2)/(2*$B$5))-$B$5)</f>
        <v>0.0212947317871359</v>
      </c>
      <c r="C74" s="4" cm="1">
        <f t="array" ref="C74">MIN($B$5,$B$5*(1-COS(PI()*A74/(2*$B$3)))+($B$7*$B$5)*EXP(-0.5*((A74/$B$3-$B$8)/$B$9)^2))</f>
        <v>0.00781682647631075</v>
      </c>
      <c r="D74" s="6"/>
      <c r="E74" s="6"/>
    </row>
    <row r="75" ht="15.75" customHeight="1">
      <c r="A75" s="4" cm="1">
        <f t="array" ref="A75">$B$3*64/200</f>
        <v>0.16</v>
      </c>
      <c r="B75" s="4" cm="1">
        <f t="array" ref="B75">SQRT(MAX((($B$5^2+$B$3^2)/(2*$B$5))^2-($B$3-A75)^2,0))-((($B$5^2+$B$3^2)/(2*$B$5))-$B$5)</f>
        <v>0.0215676068174186</v>
      </c>
      <c r="C75" s="4" cm="1">
        <f t="array" ref="C75">MIN($B$5,$B$5*(1-COS(PI()*A75/(2*$B$3)))+($B$7*$B$5)*EXP(-0.5*((A75/$B$3-$B$8)/$B$9)^2))</f>
        <v>0.00802946515384296</v>
      </c>
      <c r="D75" s="6"/>
      <c r="E75" s="6"/>
    </row>
    <row r="76" ht="15.75" customHeight="1">
      <c r="A76" s="4" cm="1">
        <f t="array" ref="A76">$B$3*65/200</f>
        <v>0.1625</v>
      </c>
      <c r="B76" s="4" cm="1">
        <f t="array" ref="B76">SQRT(MAX((($B$5^2+$B$3^2)/(2*$B$5))^2-($B$3-A76)^2,0))-((($B$5^2+$B$3^2)/(2*$B$5))-$B$5)</f>
        <v>0.0218384592108371</v>
      </c>
      <c r="C76" s="4" cm="1">
        <f t="array" ref="C76">MIN($B$5,$B$5*(1-COS(PI()*A76/(2*$B$3)))+($B$7*$B$5)*EXP(-0.5*((A76/$B$3-$B$8)/$B$9)^2))</f>
        <v>0.008243128476120661</v>
      </c>
      <c r="D76" s="6"/>
      <c r="E76" s="6"/>
    </row>
    <row r="77" ht="15.75" customHeight="1">
      <c r="A77" s="4" cm="1">
        <f t="array" ref="A77">$B$3*66/200</f>
        <v>0.165</v>
      </c>
      <c r="B77" s="4" cm="1">
        <f t="array" ref="B77">SQRT(MAX((($B$5^2+$B$3^2)/(2*$B$5))^2-($B$3-A77)^2,0))-((($B$5^2+$B$3^2)/(2*$B$5))-$B$5)</f>
        <v>0.022107289492959</v>
      </c>
      <c r="C77" s="4" cm="1">
        <f t="array" ref="C77">MIN($B$5,$B$5*(1-COS(PI()*A77/(2*$B$3)))+($B$7*$B$5)*EXP(-0.5*((A77/$B$3-$B$8)/$B$9)^2))</f>
        <v>0.008457689034139579</v>
      </c>
      <c r="D77" s="6"/>
      <c r="E77" s="6"/>
    </row>
    <row r="78" ht="15.75" customHeight="1">
      <c r="A78" s="4" cm="1">
        <f t="array" ref="A78">$B$3*67/200</f>
        <v>0.1675</v>
      </c>
      <c r="B78" s="4" cm="1">
        <f t="array" ref="B78">SQRT(MAX((($B$5^2+$B$3^2)/(2*$B$5))^2-($B$3-A78)^2,0))-((($B$5^2+$B$3^2)/(2*$B$5))-$B$5)</f>
        <v>0.0223740981852494</v>
      </c>
      <c r="C78" s="4" cm="1">
        <f t="array" ref="C78">MIN($B$5,$B$5*(1-COS(PI()*A78/(2*$B$3)))+($B$7*$B$5)*EXP(-0.5*((A78/$B$3-$B$8)/$B$9)^2))</f>
        <v>0.008673019921344741</v>
      </c>
      <c r="D78" s="6"/>
      <c r="E78" s="6"/>
    </row>
    <row r="79" ht="15.75" customHeight="1">
      <c r="A79" s="4" cm="1">
        <f t="array" ref="A79">$B$3*68/200</f>
        <v>0.17</v>
      </c>
      <c r="B79" s="4" cm="1">
        <f t="array" ref="B79">SQRT(MAX((($B$5^2+$B$3^2)/(2*$B$5))^2-($B$3-A79)^2,0))-((($B$5^2+$B$3^2)/(2*$B$5))-$B$5)</f>
        <v>0.0226388858050734</v>
      </c>
      <c r="C79" s="4" cm="1">
        <f t="array" ref="C79">MIN($B$5,$B$5*(1-COS(PI()*A79/(2*$B$3)))+($B$7*$B$5)*EXP(-0.5*((A79/$B$3-$B$8)/$B$9)^2))</f>
        <v>0.00888899511182911</v>
      </c>
      <c r="D79" s="6"/>
      <c r="E79" s="6"/>
    </row>
    <row r="80" ht="15.75" customHeight="1">
      <c r="A80" s="4" cm="1">
        <f t="array" ref="A80">$B$3*69/200</f>
        <v>0.1725</v>
      </c>
      <c r="B80" s="4" cm="1">
        <f t="array" ref="B80">SQRT(MAX((($B$5^2+$B$3^2)/(2*$B$5))^2-($B$3-A80)^2,0))-((($B$5^2+$B$3^2)/(2*$B$5))-$B$5)</f>
        <v>0.0229016528657033</v>
      </c>
      <c r="C80" s="4" cm="1">
        <f t="array" ref="C80">MIN($B$5,$B$5*(1-COS(PI()*A80/(2*$B$3)))+($B$7*$B$5)*EXP(-0.5*((A80/$B$3-$B$8)/$B$9)^2))</f>
        <v>0.00910548984165495</v>
      </c>
      <c r="D80" s="6"/>
      <c r="E80" s="6"/>
    </row>
    <row r="81" ht="15.75" customHeight="1">
      <c r="A81" s="4" cm="1">
        <f t="array" ref="A81">$B$3*70/200</f>
        <v>0.175</v>
      </c>
      <c r="B81" s="4" cm="1">
        <f t="array" ref="B81">SQRT(MAX((($B$5^2+$B$3^2)/(2*$B$5))^2-($B$3-A81)^2,0))-((($B$5^2+$B$3^2)/(2*$B$5))-$B$5)</f>
        <v>0.0231623998763237</v>
      </c>
      <c r="C81" s="4" cm="1">
        <f t="array" ref="C81">MIN($B$5,$B$5*(1-COS(PI()*A81/(2*$B$3)))+($B$7*$B$5)*EXP(-0.5*((A81/$B$3-$B$8)/$B$9)^2))</f>
        <v>0.009322380991577421</v>
      </c>
      <c r="D81" s="6"/>
      <c r="E81" s="6"/>
    </row>
    <row r="82" ht="15.75" customHeight="1">
      <c r="A82" s="4" cm="1">
        <f t="array" ref="A82">$B$3*71/200</f>
        <v>0.1775</v>
      </c>
      <c r="B82" s="4" cm="1">
        <f t="array" ref="B82">SQRT(MAX((($B$5^2+$B$3^2)/(2*$B$5))^2-($B$3-A82)^2,0))-((($B$5^2+$B$3^2)/(2*$B$5))-$B$5)</f>
        <v>0.0234211273420337</v>
      </c>
      <c r="C82" s="4" cm="1">
        <f t="array" ref="C82">MIN($B$5,$B$5*(1-COS(PI()*A82/(2*$B$3)))+($B$7*$B$5)*EXP(-0.5*((A82/$B$3-$B$8)/$B$9)^2))</f>
        <v>0.00953954746941183</v>
      </c>
      <c r="D82" s="6"/>
      <c r="E82" s="6"/>
    </row>
    <row r="83" ht="15.75" customHeight="1">
      <c r="A83" s="4" cm="1">
        <f t="array" ref="A83">$B$3*72/200</f>
        <v>0.18</v>
      </c>
      <c r="B83" s="4" cm="1">
        <f t="array" ref="B83">SQRT(MAX((($B$5^2+$B$3^2)/(2*$B$5))^2-($B$3-A83)^2,0))-((($B$5^2+$B$3^2)/(2*$B$5))-$B$5)</f>
        <v>0.0236778357638552</v>
      </c>
      <c r="C83" s="4" cm="1">
        <f t="array" ref="C83">MIN($B$5,$B$5*(1-COS(PI()*A83/(2*$B$3)))+($B$7*$B$5)*EXP(-0.5*((A83/$B$3-$B$8)/$B$9)^2))</f>
        <v>0.009756870590257779</v>
      </c>
      <c r="D83" s="6"/>
      <c r="E83" s="6"/>
    </row>
    <row r="84" ht="15.75" customHeight="1">
      <c r="A84" s="4" cm="1">
        <f t="array" ref="A84">$B$3*73/200</f>
        <v>0.1825</v>
      </c>
      <c r="B84" s="4" cm="1">
        <f t="array" ref="B84">SQRT(MAX((($B$5^2+$B$3^2)/(2*$B$5))^2-($B$3-A84)^2,0))-((($B$5^2+$B$3^2)/(2*$B$5))-$B$5)</f>
        <v>0.0239325256387364</v>
      </c>
      <c r="C84" s="4" cm="1">
        <f t="array" ref="C84">MIN($B$5,$B$5*(1-COS(PI()*A84/(2*$B$3)))+($B$7*$B$5)*EXP(-0.5*((A84/$B$3-$B$8)/$B$9)^2))</f>
        <v>0.00997423445277603</v>
      </c>
      <c r="D84" s="6"/>
      <c r="E84" s="6"/>
    </row>
    <row r="85" ht="15.75" customHeight="1">
      <c r="A85" s="4" cm="1">
        <f t="array" ref="A85">$B$3*74/200</f>
        <v>0.185</v>
      </c>
      <c r="B85" s="4" cm="1">
        <f t="array" ref="B85">SQRT(MAX((($B$5^2+$B$3^2)/(2*$B$5))^2-($B$3-A85)^2,0))-((($B$5^2+$B$3^2)/(2*$B$5))-$B$5)</f>
        <v>0.0241851974595559</v>
      </c>
      <c r="C85" s="4" cm="1">
        <f t="array" ref="C85">MIN($B$5,$B$5*(1-COS(PI()*A85/(2*$B$3)))+($B$7*$B$5)*EXP(-0.5*((A85/$B$3-$B$8)/$B$9)^2))</f>
        <v>0.0101915263097072</v>
      </c>
      <c r="D85" s="6"/>
      <c r="E85" s="6"/>
    </row>
    <row r="86" ht="15.75" customHeight="1">
      <c r="A86" s="4" cm="1">
        <f t="array" ref="A86">$B$3*75/200</f>
        <v>0.1875</v>
      </c>
      <c r="B86" s="4" cm="1">
        <f t="array" ref="B86">SQRT(MAX((($B$5^2+$B$3^2)/(2*$B$5))^2-($B$3-A86)^2,0))-((($B$5^2+$B$3^2)/(2*$B$5))-$B$5)</f>
        <v>0.0244358517151299</v>
      </c>
      <c r="C86" s="4" cm="1">
        <f t="array" ref="C86">MIN($B$5,$B$5*(1-COS(PI()*A86/(2*$B$3)))+($B$7*$B$5)*EXP(-0.5*((A86/$B$3-$B$8)/$B$9)^2))</f>
        <v>0.0104086369308263</v>
      </c>
      <c r="D86" s="6"/>
      <c r="E86" s="6"/>
    </row>
    <row r="87" ht="15.75" customHeight="1">
      <c r="A87" s="4" cm="1">
        <f t="array" ref="A87">$B$3*76/200</f>
        <v>0.19</v>
      </c>
      <c r="B87" s="4" cm="1">
        <f t="array" ref="B87">SQRT(MAX((($B$5^2+$B$3^2)/(2*$B$5))^2-($B$3-A87)^2,0))-((($B$5^2+$B$3^2)/(2*$B$5))-$B$5)</f>
        <v>0.0246844888902142</v>
      </c>
      <c r="C87" s="4" cm="1">
        <f t="array" ref="C87">MIN($B$5,$B$5*(1-COS(PI()*A87/(2*$B$3)))+($B$7*$B$5)*EXP(-0.5*((A87/$B$3-$B$8)/$B$9)^2))</f>
        <v>0.0106254609565425</v>
      </c>
      <c r="D87" s="6"/>
      <c r="E87" s="6"/>
    </row>
    <row r="88" ht="15.75" customHeight="1">
      <c r="A88" s="4" cm="1">
        <f t="array" ref="A88">$B$3*77/200</f>
        <v>0.1925</v>
      </c>
      <c r="B88" s="4" cm="1">
        <f t="array" ref="B88">SQRT(MAX((($B$5^2+$B$3^2)/(2*$B$5))^2-($B$3-A88)^2,0))-((($B$5^2+$B$3^2)/(2*$B$5))-$B$5)</f>
        <v>0.0249311094655105</v>
      </c>
      <c r="C88" s="4" cm="1">
        <f t="array" ref="C88">MIN($B$5,$B$5*(1-COS(PI()*A88/(2*$B$3)))+($B$7*$B$5)*EXP(-0.5*((A88/$B$3-$B$8)/$B$9)^2))</f>
        <v>0.0108418972403815</v>
      </c>
      <c r="D88" s="6"/>
      <c r="E88" s="6"/>
    </row>
    <row r="89" ht="15.75" customHeight="1">
      <c r="A89" s="4" cm="1">
        <f t="array" ref="A89">$B$3*78/200</f>
        <v>0.195</v>
      </c>
      <c r="B89" s="4" cm="1">
        <f t="array" ref="B89">SQRT(MAX((($B$5^2+$B$3^2)/(2*$B$5))^2-($B$3-A89)^2,0))-((($B$5^2+$B$3^2)/(2*$B$5))-$B$5)</f>
        <v>0.0251757139176707</v>
      </c>
      <c r="C89" s="4" cm="1">
        <f t="array" ref="C89">MIN($B$5,$B$5*(1-COS(PI()*A89/(2*$B$3)))+($B$7*$B$5)*EXP(-0.5*((A89/$B$3-$B$8)/$B$9)^2))</f>
        <v>0.0110578491786261</v>
      </c>
      <c r="D89" s="6"/>
      <c r="E89" s="6"/>
    </row>
    <row r="90" ht="15.75" customHeight="1">
      <c r="A90" s="4" cm="1">
        <f t="array" ref="A90">$B$3*79/200</f>
        <v>0.1975</v>
      </c>
      <c r="B90" s="4" cm="1">
        <f t="array" ref="B90">SQRT(MAX((($B$5^2+$B$3^2)/(2*$B$5))^2-($B$3-A90)^2,0))-((($B$5^2+$B$3^2)/(2*$B$5))-$B$5)</f>
        <v>0.0254183027193027</v>
      </c>
      <c r="C90" s="4" cm="1">
        <f t="array" ref="C90">MIN($B$5,$B$5*(1-COS(PI()*A90/(2*$B$3)))+($B$7*$B$5)*EXP(-0.5*((A90/$B$3-$B$8)/$B$9)^2))</f>
        <v>0.0112732250254392</v>
      </c>
      <c r="D90" s="6"/>
      <c r="E90" s="6"/>
    </row>
    <row r="91" ht="15.75" customHeight="1">
      <c r="A91" s="4" cm="1">
        <f t="array" ref="A91">$B$3*80/200</f>
        <v>0.2</v>
      </c>
      <c r="B91" s="4" cm="1">
        <f t="array" ref="B91">SQRT(MAX((($B$5^2+$B$3^2)/(2*$B$5))^2-($B$3-A91)^2,0))-((($B$5^2+$B$3^2)/(2*$B$5))-$B$5)</f>
        <v>0.0256588763389729</v>
      </c>
      <c r="C91" s="4" cm="1">
        <f t="array" ref="C91">MIN($B$5,$B$5*(1-COS(PI()*A91/(2*$B$3)))+($B$7*$B$5)*EXP(-0.5*((A91/$B$3-$B$8)/$B$9)^2))</f>
        <v>0.0114879381918559</v>
      </c>
      <c r="D91" s="6"/>
      <c r="E91" s="6"/>
    </row>
    <row r="92" ht="15.75" customHeight="1">
      <c r="A92" s="4" cm="1">
        <f t="array" ref="A92">$B$3*81/200</f>
        <v>0.2025</v>
      </c>
      <c r="B92" s="4" cm="1">
        <f t="array" ref="B92">SQRT(MAX((($B$5^2+$B$3^2)/(2*$B$5))^2-($B$3-A92)^2,0))-((($B$5^2+$B$3^2)/(2*$B$5))-$B$5)</f>
        <v>0.0258974352412124</v>
      </c>
      <c r="C92" s="4" cm="1">
        <f t="array" ref="C92">MIN($B$5,$B$5*(1-COS(PI()*A92/(2*$B$3)))+($B$7*$B$5)*EXP(-0.5*((A92/$B$3-$B$8)/$B$9)^2))</f>
        <v>0.011701907527102</v>
      </c>
      <c r="D92" s="6"/>
      <c r="E92" s="6"/>
    </row>
    <row r="93" ht="15.75" customHeight="1">
      <c r="A93" s="4" cm="1">
        <f t="array" ref="A93">$B$3*82/200</f>
        <v>0.205</v>
      </c>
      <c r="B93" s="4" cm="1">
        <f t="array" ref="B93">SQRT(MAX((($B$5^2+$B$3^2)/(2*$B$5))^2-($B$3-A93)^2,0))-((($B$5^2+$B$3^2)/(2*$B$5))-$B$5)</f>
        <v>0.0261339798865205</v>
      </c>
      <c r="C93" s="4" cm="1">
        <f t="array" ref="C93">MIN($B$5,$B$5*(1-COS(PI()*A93/(2*$B$3)))+($B$7*$B$5)*EXP(-0.5*((A93/$B$3-$B$8)/$B$9)^2))</f>
        <v>0.0119150575807758</v>
      </c>
      <c r="D93" s="6"/>
      <c r="E93" s="6"/>
    </row>
    <row r="94" ht="15.75" customHeight="1">
      <c r="A94" s="4" cm="1">
        <f t="array" ref="A94">$B$3*83/200</f>
        <v>0.2075</v>
      </c>
      <c r="B94" s="4" cm="1">
        <f t="array" ref="B94">SQRT(MAX((($B$5^2+$B$3^2)/(2*$B$5))^2-($B$3-A94)^2,0))-((($B$5^2+$B$3^2)/(2*$B$5))-$B$5)</f>
        <v>0.0263685107313707</v>
      </c>
      <c r="C94" s="4" cm="1">
        <f t="array" ref="C94">MIN($B$5,$B$5*(1-COS(PI()*A94/(2*$B$3)))+($B$7*$B$5)*EXP(-0.5*((A94/$B$3-$B$8)/$B$9)^2))</f>
        <v>0.012127318844525</v>
      </c>
      <c r="D94" s="6"/>
      <c r="E94" s="6"/>
    </row>
    <row r="95" ht="15.75" customHeight="1">
      <c r="A95" s="4" cm="1">
        <f t="array" ref="A95">$B$3*84/200</f>
        <v>0.21</v>
      </c>
      <c r="B95" s="4" cm="1">
        <f t="array" ref="B95">SQRT(MAX((($B$5^2+$B$3^2)/(2*$B$5))^2-($B$3-A95)^2,0))-((($B$5^2+$B$3^2)/(2*$B$5))-$B$5)</f>
        <v>0.026601028228213</v>
      </c>
      <c r="C95" s="4" cm="1">
        <f t="array" ref="C95">MIN($B$5,$B$5*(1-COS(PI()*A95/(2*$B$3)))+($B$7*$B$5)*EXP(-0.5*((A95/$B$3-$B$8)/$B$9)^2))</f>
        <v>0.012338627971948</v>
      </c>
      <c r="D95" s="6"/>
      <c r="E95" s="6"/>
    </row>
    <row r="96" ht="15.75" customHeight="1">
      <c r="A96" s="4" cm="1">
        <f t="array" ref="A96">$B$3*85/200</f>
        <v>0.2125</v>
      </c>
      <c r="B96" s="4" cm="1">
        <f t="array" ref="B96">SQRT(MAX((($B$5^2+$B$3^2)/(2*$B$5))^2-($B$3-A96)^2,0))-((($B$5^2+$B$3^2)/(2*$B$5))-$B$5)</f>
        <v>0.0268315328254811</v>
      </c>
      <c r="C96" s="4" cm="1">
        <f t="array" ref="C96">MIN($B$5,$B$5*(1-COS(PI()*A96/(2*$B$3)))+($B$7*$B$5)*EXP(-0.5*((A96/$B$3-$B$8)/$B$9)^2))</f>
        <v>0.0125489279755589</v>
      </c>
      <c r="D96" s="6"/>
      <c r="E96" s="6"/>
    </row>
    <row r="97" ht="15.75" customHeight="1">
      <c r="A97" s="4" cm="1">
        <f t="array" ref="A97">$B$3*86/200</f>
        <v>0.215</v>
      </c>
      <c r="B97" s="4" cm="1">
        <f t="array" ref="B97">SQRT(MAX((($B$5^2+$B$3^2)/(2*$B$5))^2-($B$3-A97)^2,0))-((($B$5^2+$B$3^2)/(2*$B$5))-$B$5)</f>
        <v>0.0270600249675934</v>
      </c>
      <c r="C97" s="4" cm="1">
        <f t="array" ref="C97">MIN($B$5,$B$5*(1-COS(PI()*A97/(2*$B$3)))+($B$7*$B$5)*EXP(-0.5*((A97/$B$3-$B$8)/$B$9)^2))</f>
        <v>0.0127581683997726</v>
      </c>
      <c r="D97" s="6"/>
      <c r="E97" s="6"/>
    </row>
    <row r="98" ht="15.75" customHeight="1">
      <c r="A98" s="4" cm="1">
        <f t="array" ref="A98">$B$3*87/200</f>
        <v>0.2175</v>
      </c>
      <c r="B98" s="4" cm="1">
        <f t="array" ref="B98">SQRT(MAX((($B$5^2+$B$3^2)/(2*$B$5))^2-($B$3-A98)^2,0))-((($B$5^2+$B$3^2)/(2*$B$5))-$B$5)</f>
        <v>0.0272865050949602</v>
      </c>
      <c r="C98" s="4" cm="1">
        <f t="array" ref="C98">MIN($B$5,$B$5*(1-COS(PI()*A98/(2*$B$3)))+($B$7*$B$5)*EXP(-0.5*((A98/$B$3-$B$8)/$B$9)^2))</f>
        <v>0.0129663054689921</v>
      </c>
      <c r="D98" s="6"/>
      <c r="E98" s="6"/>
    </row>
    <row r="99" ht="15.75" customHeight="1">
      <c r="A99" s="4" cm="1">
        <f t="array" ref="A99">$B$3*88/200</f>
        <v>0.22</v>
      </c>
      <c r="B99" s="4" cm="1">
        <f t="array" ref="B99">SQRT(MAX((($B$5^2+$B$3^2)/(2*$B$5))^2-($B$3-A99)^2,0))-((($B$5^2+$B$3^2)/(2*$B$5))-$B$5)</f>
        <v>0.0275109736439871</v>
      </c>
      <c r="C99" s="4" cm="1">
        <f t="array" ref="C99">MIN($B$5,$B$5*(1-COS(PI()*A99/(2*$B$3)))+($B$7*$B$5)*EXP(-0.5*((A99/$B$3-$B$8)/$B$9)^2))</f>
        <v>0.0131733022100065</v>
      </c>
      <c r="D99" s="6"/>
      <c r="E99" s="6"/>
    </row>
    <row r="100" ht="15.75" customHeight="1">
      <c r="A100" s="4" cm="1">
        <f t="array" ref="A100">$B$3*89/200</f>
        <v>0.2225</v>
      </c>
      <c r="B100" s="4" cm="1">
        <f t="array" ref="B100">SQRT(MAX((($B$5^2+$B$3^2)/(2*$B$5))^2-($B$3-A100)^2,0))-((($B$5^2+$B$3^2)/(2*$B$5))-$B$5)</f>
        <v>0.0277334310470785</v>
      </c>
      <c r="C100" s="4" cm="1">
        <f t="array" ref="C100">MIN($B$5,$B$5*(1-COS(PI()*A100/(2*$B$3)))+($B$7*$B$5)*EXP(-0.5*((A100/$B$3-$B$8)/$B$9)^2))</f>
        <v>0.0133791285480487</v>
      </c>
      <c r="D100" s="6"/>
      <c r="E100" s="6"/>
    </row>
    <row r="101" ht="15.75" customHeight="1">
      <c r="A101" s="4" cm="1">
        <f t="array" ref="A101">$B$3*90/200</f>
        <v>0.225</v>
      </c>
      <c r="B101" s="4" cm="1">
        <f t="array" ref="B101">SQRT(MAX((($B$5^2+$B$3^2)/(2*$B$5))^2-($B$3-A101)^2,0))-((($B$5^2+$B$3^2)/(2*$B$5))-$B$5)</f>
        <v>0.0279538777326422</v>
      </c>
      <c r="C101" s="4" cm="1">
        <f t="array" ref="C101">MIN($B$5,$B$5*(1-COS(PI()*A101/(2*$B$3)))+($B$7*$B$5)*EXP(-0.5*((A101/$B$3-$B$8)/$B$9)^2))</f>
        <v>0.0135837613759988</v>
      </c>
      <c r="D101" s="6"/>
      <c r="E101" s="6"/>
    </row>
    <row r="102" ht="15.75" customHeight="1">
      <c r="A102" s="4" cm="1">
        <f t="array" ref="A102">$B$3*91/200</f>
        <v>0.2275</v>
      </c>
      <c r="B102" s="4" cm="1">
        <f t="array" ref="B102">SQRT(MAX((($B$5^2+$B$3^2)/(2*$B$5))^2-($B$3-A102)^2,0))-((($B$5^2+$B$3^2)/(2*$B$5))-$B$5)</f>
        <v>0.0281723141250949</v>
      </c>
      <c r="C102" s="4" cm="1">
        <f t="array" ref="C102">MIN($B$5,$B$5*(1-COS(PI()*A102/(2*$B$3)))+($B$7*$B$5)*EXP(-0.5*((A102/$B$3-$B$8)/$B$9)^2))</f>
        <v>0.0137871845963649</v>
      </c>
      <c r="D102" s="6"/>
      <c r="E102" s="6"/>
    </row>
    <row r="103" ht="15.75" customHeight="1">
      <c r="A103" s="4" cm="1">
        <f t="array" ref="A103">$B$3*92/200</f>
        <v>0.23</v>
      </c>
      <c r="B103" s="4" cm="1">
        <f t="array" ref="B103">SQRT(MAX((($B$5^2+$B$3^2)/(2*$B$5))^2-($B$3-A103)^2,0))-((($B$5^2+$B$3^2)/(2*$B$5))-$B$5)</f>
        <v>0.0283887406448628</v>
      </c>
      <c r="C103" s="4" cm="1">
        <f t="array" ref="C103">MIN($B$5,$B$5*(1-COS(PI()*A103/(2*$B$3)))+($B$7*$B$5)*EXP(-0.5*((A103/$B$3-$B$8)/$B$9)^2))</f>
        <v>0.0139893891358197</v>
      </c>
      <c r="D103" s="6"/>
      <c r="E103" s="6"/>
    </row>
    <row r="104" ht="15.75" customHeight="1">
      <c r="A104" s="4" cm="1">
        <f t="array" ref="A104">$B$3*93/200</f>
        <v>0.2325</v>
      </c>
      <c r="B104" s="4" cm="1">
        <f t="array" ref="B104">SQRT(MAX((($B$5^2+$B$3^2)/(2*$B$5))^2-($B$3-A104)^2,0))-((($B$5^2+$B$3^2)/(2*$B$5))-$B$5)</f>
        <v>0.0286031577083912</v>
      </c>
      <c r="C104" s="4" cm="1">
        <f t="array" ref="C104">MIN($B$5,$B$5*(1-COS(PI()*A104/(2*$B$3)))+($B$7*$B$5)*EXP(-0.5*((A104/$B$3-$B$8)/$B$9)^2))</f>
        <v>0.0141903729322166</v>
      </c>
      <c r="D104" s="6"/>
      <c r="E104" s="6"/>
    </row>
    <row r="105" ht="15.75" customHeight="1">
      <c r="A105" s="4" cm="1">
        <f t="array" ref="A105">$B$3*94/200</f>
        <v>0.235</v>
      </c>
      <c r="B105" s="4" cm="1">
        <f t="array" ref="B105">SQRT(MAX((($B$5^2+$B$3^2)/(2*$B$5))^2-($B$3-A105)^2,0))-((($B$5^2+$B$3^2)/(2*$B$5))-$B$5)</f>
        <v>0.0288155657281428</v>
      </c>
      <c r="C105" s="4" cm="1">
        <f t="array" ref="C105">MIN($B$5,$B$5*(1-COS(PI()*A105/(2*$B$3)))+($B$7*$B$5)*EXP(-0.5*((A105/$B$3-$B$8)/$B$9)^2))</f>
        <v>0.0143901408941614</v>
      </c>
      <c r="D105" s="6"/>
      <c r="E105" s="6"/>
    </row>
    <row r="106" ht="15.75" customHeight="1">
      <c r="A106" s="4" cm="1">
        <f t="array" ref="A106">$B$3*95/200</f>
        <v>0.2375</v>
      </c>
      <c r="B106" s="4" cm="1">
        <f t="array" ref="B106">SQRT(MAX((($B$5^2+$B$3^2)/(2*$B$5))^2-($B$3-A106)^2,0))-((($B$5^2+$B$3^2)/(2*$B$5))-$B$5)</f>
        <v>0.0290259651126061</v>
      </c>
      <c r="C106" s="4" cm="1">
        <f t="array" ref="C106">MIN($B$5,$B$5*(1-COS(PI()*A106/(2*$B$3)))+($B$7*$B$5)*EXP(-0.5*((A106/$B$3-$B$8)/$B$9)^2))</f>
        <v>0.0145887048333612</v>
      </c>
      <c r="D106" s="6"/>
      <c r="E106" s="6"/>
    </row>
    <row r="107" ht="15.75" customHeight="1">
      <c r="A107" s="4" cm="1">
        <f t="array" ref="A107">$B$3*96/200</f>
        <v>0.24</v>
      </c>
      <c r="B107" s="4" cm="1">
        <f t="array" ref="B107">SQRT(MAX((($B$5^2+$B$3^2)/(2*$B$5))^2-($B$3-A107)^2,0))-((($B$5^2+$B$3^2)/(2*$B$5))-$B$5)</f>
        <v>0.0292343562662958</v>
      </c>
      <c r="C107" s="4" cm="1">
        <f t="array" ref="C107">MIN($B$5,$B$5*(1-COS(PI()*A107/(2*$B$3)))+($B$7*$B$5)*EXP(-0.5*((A107/$B$3-$B$8)/$B$9)^2))</f>
        <v>0.0147860833701192</v>
      </c>
      <c r="D107" s="6"/>
      <c r="E107" s="6"/>
    </row>
    <row r="108" ht="15.75" customHeight="1">
      <c r="A108" s="4" cm="1">
        <f t="array" ref="A108">$B$3*97/200</f>
        <v>0.2425</v>
      </c>
      <c r="B108" s="4" cm="1">
        <f t="array" ref="B108">SQRT(MAX((($B$5^2+$B$3^2)/(2*$B$5))^2-($B$3-A108)^2,0))-((($B$5^2+$B$3^2)/(2*$B$5))-$B$5)</f>
        <v>0.0294407395897598</v>
      </c>
      <c r="C108" s="4" cm="1">
        <f t="array" ref="C108">MIN($B$5,$B$5*(1-COS(PI()*A108/(2*$B$3)))+($B$7*$B$5)*EXP(-0.5*((A108/$B$3-$B$8)/$B$9)^2))</f>
        <v>0.0149823018124874</v>
      </c>
      <c r="D108" s="6"/>
      <c r="E108" s="6"/>
    </row>
    <row r="109" ht="15.75" customHeight="1">
      <c r="A109" s="4" cm="1">
        <f t="array" ref="A109">$B$3*98/200</f>
        <v>0.245</v>
      </c>
      <c r="B109" s="4" cm="1">
        <f t="array" ref="B109">SQRT(MAX((($B$5^2+$B$3^2)/(2*$B$5))^2-($B$3-A109)^2,0))-((($B$5^2+$B$3^2)/(2*$B$5))-$B$5)</f>
        <v>0.0296451154795818</v>
      </c>
      <c r="C109" s="4" cm="1">
        <f t="array" ref="C109">MIN($B$5,$B$5*(1-COS(PI()*A109/(2*$B$3)))+($B$7*$B$5)*EXP(-0.5*((A109/$B$3-$B$8)/$B$9)^2))</f>
        <v>0.0151773920097318</v>
      </c>
      <c r="D109" s="6"/>
      <c r="E109" s="6"/>
    </row>
    <row r="110" ht="15.75" customHeight="1">
      <c r="A110" s="4" cm="1">
        <f t="array" ref="A110">$B$3*99/200</f>
        <v>0.2475</v>
      </c>
      <c r="B110" s="4" cm="1">
        <f t="array" ref="B110">SQRT(MAX((($B$5^2+$B$3^2)/(2*$B$5))^2-($B$3-A110)^2,0))-((($B$5^2+$B$3^2)/(2*$B$5))-$B$5)</f>
        <v>0.0298474843283842</v>
      </c>
      <c r="C110" s="4" cm="1">
        <f t="array" ref="C110">MIN($B$5,$B$5*(1-COS(PI()*A110/(2*$B$3)))+($B$7*$B$5)*EXP(-0.5*((A110/$B$3-$B$8)/$B$9)^2))</f>
        <v>0.0153713921808972</v>
      </c>
      <c r="D110" s="6"/>
      <c r="E110" s="6"/>
    </row>
    <row r="111" ht="15.75" customHeight="1">
      <c r="A111" s="4" cm="1">
        <f t="array" ref="A111">$B$3*100/200</f>
        <v>0.25</v>
      </c>
      <c r="B111" s="4" cm="1">
        <f t="array" ref="B111">SQRT(MAX((($B$5^2+$B$3^2)/(2*$B$5))^2-($B$3-A111)^2,0))-((($B$5^2+$B$3^2)/(2*$B$5))-$B$5)</f>
        <v>0.0300478465248344</v>
      </c>
      <c r="C111" s="4" cm="1">
        <f t="array" ref="C111">MIN($B$5,$B$5*(1-COS(PI()*A111/(2*$B$3)))+($B$7*$B$5)*EXP(-0.5*((A111/$B$3-$B$8)/$B$9)^2))</f>
        <v>0.0155643467193919</v>
      </c>
      <c r="D111" s="6"/>
      <c r="E111" s="6"/>
    </row>
    <row r="112" ht="15.75" customHeight="1">
      <c r="A112" s="4" cm="1">
        <f t="array" ref="A112">$B$3*101/200</f>
        <v>0.2525</v>
      </c>
      <c r="B112" s="4" cm="1">
        <f t="array" ref="B112">SQRT(MAX((($B$5^2+$B$3^2)/(2*$B$5))^2-($B$3-A112)^2,0))-((($B$5^2+$B$3^2)/(2*$B$5))-$B$5)</f>
        <v>0.0302462024536449</v>
      </c>
      <c r="C112" s="4" cm="1">
        <f t="array" ref="C112">MIN($B$5,$B$5*(1-COS(PI()*A112/(2*$B$3)))+($B$7*$B$5)*EXP(-0.5*((A112/$B$3-$B$8)/$B$9)^2))</f>
        <v>0.0157563059746364</v>
      </c>
      <c r="D112" s="6"/>
      <c r="E112" s="6"/>
    </row>
    <row r="113" ht="15.75" customHeight="1">
      <c r="A113" s="4" cm="1">
        <f t="array" ref="A113">$B$3*102/200</f>
        <v>0.255</v>
      </c>
      <c r="B113" s="4" cm="1">
        <f t="array" ref="B113">SQRT(MAX((($B$5^2+$B$3^2)/(2*$B$5))^2-($B$3-A113)^2,0))-((($B$5^2+$B$3^2)/(2*$B$5))-$B$5)</f>
        <v>0.0304425524955807</v>
      </c>
      <c r="C113" s="4" cm="1">
        <f t="array" ref="C113">MIN($B$5,$B$5*(1-COS(PI()*A113/(2*$B$3)))+($B$7*$B$5)*EXP(-0.5*((A113/$B$3-$B$8)/$B$9)^2))</f>
        <v>0.0159473260119345</v>
      </c>
      <c r="D113" s="6"/>
      <c r="E113" s="6"/>
    </row>
    <row r="114" ht="15.75" customHeight="1">
      <c r="A114" s="4" cm="1">
        <f t="array" ref="A114">$B$3*103/200</f>
        <v>0.2575</v>
      </c>
      <c r="B114" s="4" cm="1">
        <f t="array" ref="B114">SQRT(MAX((($B$5^2+$B$3^2)/(2*$B$5))^2-($B$3-A114)^2,0))-((($B$5^2+$B$3^2)/(2*$B$5))-$B$5)</f>
        <v>0.0306368970274606</v>
      </c>
      <c r="C114" s="4" cm="1">
        <f t="array" ref="C114">MIN($B$5,$B$5*(1-COS(PI()*A114/(2*$B$3)))+($B$7*$B$5)*EXP(-0.5*((A114/$B$3-$B$8)/$B$9)^2))</f>
        <v>0.0161374683518384</v>
      </c>
      <c r="D114" s="6"/>
      <c r="E114" s="6"/>
    </row>
    <row r="115" ht="15.75" customHeight="1">
      <c r="A115" s="4" cm="1">
        <f t="array" ref="A115">$B$3*104/200</f>
        <v>0.26</v>
      </c>
      <c r="B115" s="4" cm="1">
        <f t="array" ref="B115">SQRT(MAX((($B$5^2+$B$3^2)/(2*$B$5))^2-($B$3-A115)^2,0))-((($B$5^2+$B$3^2)/(2*$B$5))-$B$5)</f>
        <v>0.030829236422162</v>
      </c>
      <c r="C115" s="4" cm="1">
        <f t="array" ref="C115">MIN($B$5,$B$5*(1-COS(PI()*A115/(2*$B$3)))+($B$7*$B$5)*EXP(-0.5*((A115/$B$3-$B$8)/$B$9)^2))</f>
        <v>0.0163267996903774</v>
      </c>
      <c r="D115" s="6"/>
      <c r="E115" s="6"/>
    </row>
    <row r="116" ht="15.75" customHeight="1">
      <c r="A116" s="4" cm="1">
        <f t="array" ref="A116">$B$3*105/200</f>
        <v>0.2625</v>
      </c>
      <c r="B116" s="4" cm="1">
        <f t="array" ref="B116">SQRT(MAX((($B$5^2+$B$3^2)/(2*$B$5))^2-($B$3-A116)^2,0))-((($B$5^2+$B$3^2)/(2*$B$5))-$B$5)</f>
        <v>0.0310195710486249</v>
      </c>
      <c r="C116" s="4" cm="1">
        <f t="array" ref="C116">MIN($B$5,$B$5*(1-COS(PI()*A116/(2*$B$3)))+($B$7*$B$5)*EXP(-0.5*((A116/$B$3-$B$8)/$B$9)^2))</f>
        <v>0.0165153916016104</v>
      </c>
      <c r="D116" s="6"/>
      <c r="E116" s="6"/>
    </row>
    <row r="117" ht="15.75" customHeight="1">
      <c r="A117" s="4" cm="1">
        <f t="array" ref="A117">$B$3*106/200</f>
        <v>0.265</v>
      </c>
      <c r="B117" s="4" cm="1">
        <f t="array" ref="B117">SQRT(MAX((($B$5^2+$B$3^2)/(2*$B$5))^2-($B$3-A117)^2,0))-((($B$5^2+$B$3^2)/(2*$B$5))-$B$5)</f>
        <v>0.0312079012718529</v>
      </c>
      <c r="C117" s="4" cm="1">
        <f t="array" ref="C117">MIN($B$5,$B$5*(1-COS(PI()*A117/(2*$B$3)))+($B$7*$B$5)*EXP(-0.5*((A117/$B$3-$B$8)/$B$9)^2))</f>
        <v>0.0167033202240471</v>
      </c>
      <c r="D117" s="6"/>
      <c r="E117" s="6"/>
    </row>
    <row r="118" ht="15.75" customHeight="1">
      <c r="A118" s="4" cm="1">
        <f t="array" ref="A118">$B$3*107/200</f>
        <v>0.2675</v>
      </c>
      <c r="B118" s="4" cm="1">
        <f t="array" ref="B118">SQRT(MAX((($B$5^2+$B$3^2)/(2*$B$5))^2-($B$3-A118)^2,0))-((($B$5^2+$B$3^2)/(2*$B$5))-$B$5)</f>
        <v>0.0313942274529202</v>
      </c>
      <c r="C118" s="4" cm="1">
        <f t="array" ref="C118">MIN($B$5,$B$5*(1-COS(PI()*A118/(2*$B$3)))+($B$7*$B$5)*EXP(-0.5*((A118/$B$3-$B$8)/$B$9)^2))</f>
        <v>0.0168906659325497</v>
      </c>
      <c r="D118" s="6"/>
      <c r="E118" s="6"/>
    </row>
    <row r="119" ht="15.75" customHeight="1">
      <c r="A119" s="4" cm="1">
        <f t="array" ref="A119">$B$3*108/200</f>
        <v>0.27</v>
      </c>
      <c r="B119" s="4" cm="1">
        <f t="array" ref="B119">SQRT(MAX((($B$5^2+$B$3^2)/(2*$B$5))^2-($B$3-A119)^2,0))-((($B$5^2+$B$3^2)/(2*$B$5))-$B$5)</f>
        <v>0.0315785499489731</v>
      </c>
      <c r="C119" s="4" cm="1">
        <f t="array" ref="C119">MIN($B$5,$B$5*(1-COS(PI()*A119/(2*$B$3)))+($B$7*$B$5)*EXP(-0.5*((A119/$B$3-$B$8)/$B$9)^2))</f>
        <v>0.0170775129973923</v>
      </c>
      <c r="D119" s="6"/>
      <c r="E119" s="6"/>
    </row>
    <row r="120" ht="15.75" customHeight="1">
      <c r="A120" s="4" cm="1">
        <f t="array" ref="A120">$B$3*109/200</f>
        <v>0.2725</v>
      </c>
      <c r="B120" s="4" cm="1">
        <f t="array" ref="B120">SQRT(MAX((($B$5^2+$B$3^2)/(2*$B$5))^2-($B$3-A120)^2,0))-((($B$5^2+$B$3^2)/(2*$B$5))-$B$5)</f>
        <v>0.0317608691132323</v>
      </c>
      <c r="C120" s="4" cm="1">
        <f t="array" ref="C120">MIN($B$5,$B$5*(1-COS(PI()*A120/(2*$B$3)))+($B$7*$B$5)*EXP(-0.5*((A120/$B$3-$B$8)/$B$9)^2))</f>
        <v>0.0172639492322002</v>
      </c>
      <c r="D120" s="6"/>
      <c r="E120" s="6"/>
    </row>
    <row r="121" ht="15.75" customHeight="1">
      <c r="A121" s="4" cm="1">
        <f t="array" ref="A121">$B$3*110/200</f>
        <v>0.275</v>
      </c>
      <c r="B121" s="4" cm="1">
        <f t="array" ref="B121">SQRT(MAX((($B$5^2+$B$3^2)/(2*$B$5))^2-($B$3-A121)^2,0))-((($B$5^2+$B$3^2)/(2*$B$5))-$B$5)</f>
        <v>0.031941185295</v>
      </c>
      <c r="C121" s="4" cm="1">
        <f t="array" ref="C121">MIN($B$5,$B$5*(1-COS(PI()*A121/(2*$B$3)))+($B$7*$B$5)*EXP(-0.5*((A121/$B$3-$B$8)/$B$9)^2))</f>
        <v>0.0174500656325338</v>
      </c>
      <c r="D121" s="6"/>
      <c r="E121" s="6"/>
    </row>
    <row r="122" ht="15.75" customHeight="1">
      <c r="A122" s="4" cm="1">
        <f t="array" ref="A122">$B$3*111/200</f>
        <v>0.2775</v>
      </c>
      <c r="B122" s="4" cm="1">
        <f t="array" ref="B122">SQRT(MAX((($B$5^2+$B$3^2)/(2*$B$5))^2-($B$3-A122)^2,0))-((($B$5^2+$B$3^2)/(2*$B$5))-$B$5)</f>
        <v>0.03211949883966</v>
      </c>
      <c r="C122" s="4" cm="1">
        <f t="array" ref="C122">MIN($B$5,$B$5*(1-COS(PI()*A122/(2*$B$3)))+($B$7*$B$5)*EXP(-0.5*((A122/$B$3-$B$8)/$B$9)^2))</f>
        <v>0.0176359560069058</v>
      </c>
      <c r="D122" s="6"/>
      <c r="E122" s="6"/>
    </row>
    <row r="123" ht="15.75" customHeight="1">
      <c r="A123" s="4" cm="1">
        <f t="array" ref="A123">$B$3*112/200</f>
        <v>0.28</v>
      </c>
      <c r="B123" s="4" cm="1">
        <f t="array" ref="B123">SQRT(MAX((($B$5^2+$B$3^2)/(2*$B$5))^2-($B$3-A123)^2,0))-((($B$5^2+$B$3^2)/(2*$B$5))-$B$5)</f>
        <v>0.0322958100886823</v>
      </c>
      <c r="C123" s="4" cm="1">
        <f t="array" ref="C123">MIN($B$5,$B$5*(1-COS(PI()*A123/(2*$B$3)))+($B$7*$B$5)*EXP(-0.5*((A123/$B$3-$B$8)/$B$9)^2))</f>
        <v>0.0178217166020393</v>
      </c>
      <c r="D123" s="6"/>
      <c r="E123" s="6"/>
    </row>
    <row r="124" ht="15.75" customHeight="1">
      <c r="A124" s="4" cm="1">
        <f t="array" ref="A124">$B$3*113/200</f>
        <v>0.2825</v>
      </c>
      <c r="B124" s="4" cm="1">
        <f t="array" ref="B124">SQRT(MAX((($B$5^2+$B$3^2)/(2*$B$5))^2-($B$3-A124)^2,0))-((($B$5^2+$B$3^2)/(2*$B$5))-$B$5)</f>
        <v>0.0324701193796253</v>
      </c>
      <c r="C124" s="4" cm="1">
        <f t="array" ref="C124">MIN($B$5,$B$5*(1-COS(PI()*A124/(2*$B$3)))+($B$7*$B$5)*EXP(-0.5*((A124/$B$3-$B$8)/$B$9)^2))</f>
        <v>0.0180074457241758</v>
      </c>
      <c r="D124" s="6"/>
      <c r="E124" s="6"/>
    </row>
    <row r="125" ht="15.75" customHeight="1">
      <c r="A125" s="4" cm="1">
        <f t="array" ref="A125">$B$3*114/200</f>
        <v>0.285</v>
      </c>
      <c r="B125" s="4" cm="1">
        <f t="array" ref="B125">SQRT(MAX((($B$5^2+$B$3^2)/(2*$B$5))^2-($B$3-A125)^2,0))-((($B$5^2+$B$3^2)/(2*$B$5))-$B$5)</f>
        <v>0.0326424270461416</v>
      </c>
      <c r="C125" s="4" cm="1">
        <f t="array" ref="C125">MIN($B$5,$B$5*(1-COS(PI()*A125/(2*$B$3)))+($B$7*$B$5)*EXP(-0.5*((A125/$B$3-$B$8)/$B$9)^2))</f>
        <v>0.018193243358239</v>
      </c>
      <c r="D125" s="6"/>
      <c r="E125" s="6"/>
    </row>
    <row r="126" ht="15.75" customHeight="1">
      <c r="A126" s="4" cm="1">
        <f t="array" ref="A126">$B$3*115/200</f>
        <v>0.2875</v>
      </c>
      <c r="B126" s="4" cm="1">
        <f t="array" ref="B126">SQRT(MAX((($B$5^2+$B$3^2)/(2*$B$5))^2-($B$3-A126)^2,0))-((($B$5^2+$B$3^2)/(2*$B$5))-$B$5)</f>
        <v>0.0328127334179777</v>
      </c>
      <c r="C126" s="4" cm="1">
        <f t="array" ref="C126">MIN($B$5,$B$5*(1-COS(PI()*A126/(2*$B$3)))+($B$7*$B$5)*EXP(-0.5*((A126/$B$3-$B$8)/$B$9)^2))</f>
        <v>0.0183792107866392</v>
      </c>
      <c r="D126" s="6"/>
      <c r="E126" s="6"/>
    </row>
    <row r="127" ht="15.75" customHeight="1">
      <c r="A127" s="4" cm="1">
        <f t="array" ref="A127">$B$3*116/200</f>
        <v>0.29</v>
      </c>
      <c r="B127" s="4" cm="1">
        <f t="array" ref="B127">SQRT(MAX((($B$5^2+$B$3^2)/(2*$B$5))^2-($B$3-A127)^2,0))-((($B$5^2+$B$3^2)/(2*$B$5))-$B$5)</f>
        <v>0.0329810388209806</v>
      </c>
      <c r="C127" s="4" cm="1">
        <f t="array" ref="C127">MIN($B$5,$B$5*(1-COS(PI()*A127/(2*$B$3)))+($B$7*$B$5)*EXP(-0.5*((A127/$B$3-$B$8)/$B$9)^2))</f>
        <v>0.0185654502094784</v>
      </c>
      <c r="D127" s="6"/>
      <c r="E127" s="6"/>
    </row>
    <row r="128" ht="15.75" customHeight="1">
      <c r="A128" s="4" cm="1">
        <f t="array" ref="A128">$B$3*117/200</f>
        <v>0.2925</v>
      </c>
      <c r="B128" s="4" cm="1">
        <f t="array" ref="B128">SQRT(MAX((($B$5^2+$B$3^2)/(2*$B$5))^2-($B$3-A128)^2,0))-((($B$5^2+$B$3^2)/(2*$B$5))-$B$5)</f>
        <v>0.0331473435770988</v>
      </c>
      <c r="C128" s="4" cm="1">
        <f t="array" ref="C128">MIN($B$5,$B$5*(1-COS(PI()*A128/(2*$B$3)))+($B$7*$B$5)*EXP(-0.5*((A128/$B$3-$B$8)/$B$9)^2))</f>
        <v>0.018752064367876</v>
      </c>
      <c r="D128" s="6"/>
      <c r="E128" s="6"/>
    </row>
    <row r="129" ht="15.75" customHeight="1">
      <c r="A129" s="4" cm="1">
        <f t="array" ref="A129">$B$3*118/200</f>
        <v>0.295</v>
      </c>
      <c r="B129" s="4" cm="1">
        <f t="array" ref="B129">SQRT(MAX((($B$5^2+$B$3^2)/(2*$B$5))^2-($B$3-A129)^2,0))-((($B$5^2+$B$3^2)/(2*$B$5))-$B$5)</f>
        <v>0.0333116480043851</v>
      </c>
      <c r="C129" s="4" cm="1">
        <f t="array" ref="C129">MIN($B$5,$B$5*(1-COS(PI()*A129/(2*$B$3)))+($B$7*$B$5)*EXP(-0.5*((A129/$B$3-$B$8)/$B$9)^2))</f>
        <v>0.0189391561720859</v>
      </c>
      <c r="D129" s="6"/>
      <c r="E129" s="6"/>
    </row>
    <row r="130" ht="15.75" customHeight="1">
      <c r="A130" s="4" cm="1">
        <f t="array" ref="A130">$B$3*119/200</f>
        <v>0.2975</v>
      </c>
      <c r="B130" s="4" cm="1">
        <f t="array" ref="B130">SQRT(MAX((($B$5^2+$B$3^2)/(2*$B$5))^2-($B$3-A130)^2,0))-((($B$5^2+$B$3^2)/(2*$B$5))-$B$5)</f>
        <v>0.0334739524170024</v>
      </c>
      <c r="C130" s="4" cm="1">
        <f t="array" ref="C130">MIN($B$5,$B$5*(1-COS(PI()*A130/(2*$B$3)))+($B$7*$B$5)*EXP(-0.5*((A130/$B$3-$B$8)/$B$9)^2))</f>
        <v>0.0191268283360208</v>
      </c>
      <c r="D130" s="6"/>
      <c r="E130" s="6"/>
    </row>
    <row r="131" ht="15.75" customHeight="1">
      <c r="A131" s="4" cm="1">
        <f t="array" ref="A131">$B$3*120/200</f>
        <v>0.3</v>
      </c>
      <c r="B131" s="4" cm="1">
        <f t="array" ref="B131">SQRT(MAX((($B$5^2+$B$3^2)/(2*$B$5))^2-($B$3-A131)^2,0))-((($B$5^2+$B$3^2)/(2*$B$5))-$B$5)</f>
        <v>0.033634257125223</v>
      </c>
      <c r="C131" s="4" cm="1">
        <f t="array" ref="C131">MIN($B$5,$B$5*(1-COS(PI()*A131/(2*$B$3)))+($B$7*$B$5)*EXP(-0.5*((A131/$B$3-$B$8)/$B$9)^2))</f>
        <v>0.0193151830197319</v>
      </c>
      <c r="D131" s="6"/>
      <c r="E131" s="6"/>
    </row>
    <row r="132" ht="15.75" customHeight="1">
      <c r="A132" s="4" cm="1">
        <f t="array" ref="A132">$B$3*121/200</f>
        <v>0.3025</v>
      </c>
      <c r="B132" s="4" cm="1">
        <f t="array" ref="B132">SQRT(MAX((($B$5^2+$B$3^2)/(2*$B$5))^2-($B$3-A132)^2,0))-((($B$5^2+$B$3^2)/(2*$B$5))-$B$5)</f>
        <v>0.0337925624354347</v>
      </c>
      <c r="C132" s="4" cm="1">
        <f t="array" ref="C132">MIN($B$5,$B$5*(1-COS(PI()*A132/(2*$B$3)))+($B$7*$B$5)*EXP(-0.5*((A132/$B$3-$B$8)/$B$9)^2))</f>
        <v>0.0195043214813167</v>
      </c>
      <c r="D132" s="6"/>
      <c r="E132" s="6"/>
    </row>
    <row r="133" ht="15.75" customHeight="1">
      <c r="A133" s="4" cm="1">
        <f t="array" ref="A133">$B$3*122/200</f>
        <v>0.305</v>
      </c>
      <c r="B133" s="4" cm="1">
        <f t="array" ref="B133">SQRT(MAX((($B$5^2+$B$3^2)/(2*$B$5))^2-($B$3-A133)^2,0))-((($B$5^2+$B$3^2)/(2*$B$5))-$B$5)</f>
        <v>0.0339488686501412</v>
      </c>
      <c r="C133" s="4" cm="1">
        <f t="array" ref="C133">MIN($B$5,$B$5*(1-COS(PI()*A133/(2*$B$3)))+($B$7*$B$5)*EXP(-0.5*((A133/$B$3-$B$8)/$B$9)^2))</f>
        <v>0.0196943437396478</v>
      </c>
      <c r="D133" s="6"/>
      <c r="E133" s="6"/>
    </row>
    <row r="134" ht="15.75" customHeight="1">
      <c r="A134" s="4" cm="1">
        <f t="array" ref="A134">$B$3*123/200</f>
        <v>0.3075</v>
      </c>
      <c r="B134" s="4" cm="1">
        <f t="array" ref="B134">SQRT(MAX((($B$5^2+$B$3^2)/(2*$B$5))^2-($B$3-A134)^2,0))-((($B$5^2+$B$3^2)/(2*$B$5))-$B$5)</f>
        <v>0.0341031760679677</v>
      </c>
      <c r="C134" s="4" cm="1">
        <f t="array" ref="C134">MIN($B$5,$B$5*(1-COS(PI()*A134/(2*$B$3)))+($B$7*$B$5)*EXP(-0.5*((A134/$B$3-$B$8)/$B$9)^2))</f>
        <v>0.0198853482492265</v>
      </c>
      <c r="D134" s="6"/>
      <c r="E134" s="6"/>
    </row>
    <row r="135" ht="15.75" customHeight="1">
      <c r="A135" s="4" cm="1">
        <f t="array" ref="A135">$B$3*124/200</f>
        <v>0.31</v>
      </c>
      <c r="B135" s="4" cm="1">
        <f t="array" ref="B135">SQRT(MAX((($B$5^2+$B$3^2)/(2*$B$5))^2-($B$3-A135)^2,0))-((($B$5^2+$B$3^2)/(2*$B$5))-$B$5)</f>
        <v>0.0342554849836611</v>
      </c>
      <c r="C135" s="4" cm="1">
        <f t="array" ref="C135">MIN($B$5,$B$5*(1-COS(PI()*A135/(2*$B$3)))+($B$7*$B$5)*EXP(-0.5*((A135/$B$3-$B$8)/$B$9)^2))</f>
        <v>0.0200774315883699</v>
      </c>
      <c r="D135" s="6"/>
      <c r="E135" s="6"/>
    </row>
    <row r="136" ht="15.75" customHeight="1">
      <c r="A136" s="4" cm="1">
        <f t="array" ref="A136">$B$3*125/200</f>
        <v>0.3125</v>
      </c>
      <c r="B136" s="4" cm="1">
        <f t="array" ref="B136">SQRT(MAX((($B$5^2+$B$3^2)/(2*$B$5))^2-($B$3-A136)^2,0))-((($B$5^2+$B$3^2)/(2*$B$5))-$B$5)</f>
        <v>0.034405795688095</v>
      </c>
      <c r="C136" s="4" cm="1">
        <f t="array" ref="C136">MIN($B$5,$B$5*(1-COS(PI()*A136/(2*$B$3)))+($B$7*$B$5)*EXP(-0.5*((A136/$B$3-$B$8)/$B$9)^2))</f>
        <v>0.0202706881618407</v>
      </c>
      <c r="D136" s="6"/>
      <c r="E136" s="6"/>
    </row>
    <row r="137" ht="15.75" customHeight="1">
      <c r="A137" s="4" cm="1">
        <f t="array" ref="A137">$B$3*126/200</f>
        <v>0.315</v>
      </c>
      <c r="B137" s="4" cm="1">
        <f t="array" ref="B137">SQRT(MAX((($B$5^2+$B$3^2)/(2*$B$5))^2-($B$3-A137)^2,0))-((($B$5^2+$B$3^2)/(2*$B$5))-$B$5)</f>
        <v>0.0345541084682712</v>
      </c>
      <c r="C137" s="4" cm="1">
        <f t="array" ref="C137">MIN($B$5,$B$5*(1-COS(PI()*A137/(2*$B$3)))+($B$7*$B$5)*EXP(-0.5*((A137/$B$3-$B$8)/$B$9)^2))</f>
        <v>0.0204652099189253</v>
      </c>
      <c r="D137" s="6"/>
      <c r="E137" s="6"/>
    </row>
    <row r="138" ht="15.75" customHeight="1">
      <c r="A138" s="4" cm="1">
        <f t="array" ref="A138">$B$3*127/200</f>
        <v>0.3175</v>
      </c>
      <c r="B138" s="4" cm="1">
        <f t="array" ref="B138">SQRT(MAX((($B$5^2+$B$3^2)/(2*$B$5))^2-($B$3-A138)^2,0))-((($B$5^2+$B$3^2)/(2*$B$5))-$B$5)</f>
        <v>0.0347004236073225</v>
      </c>
      <c r="C138" s="4" cm="1">
        <f t="array" ref="C138">MIN($B$5,$B$5*(1-COS(PI()*A138/(2*$B$3)))+($B$7*$B$5)*EXP(-0.5*((A138/$B$3-$B$8)/$B$9)^2))</f>
        <v>0.0206610860878593</v>
      </c>
      <c r="D138" s="6"/>
      <c r="E138" s="6"/>
    </row>
    <row r="139" ht="15.75" customHeight="1">
      <c r="A139" s="4" cm="1">
        <f t="array" ref="A139">$B$3*128/200</f>
        <v>0.32</v>
      </c>
      <c r="B139" s="4" cm="1">
        <f t="array" ref="B139">SQRT(MAX((($B$5^2+$B$3^2)/(2*$B$5))^2-($B$3-A139)^2,0))-((($B$5^2+$B$3^2)/(2*$B$5))-$B$5)</f>
        <v>0.0348447413845161</v>
      </c>
      <c r="C139" s="4" cm="1">
        <f t="array" ref="C139">MIN($B$5,$B$5*(1-COS(PI()*A139/(2*$B$3)))+($B$7*$B$5)*EXP(-0.5*((A139/$B$3-$B$8)/$B$9)^2))</f>
        <v>0.0208584029273861</v>
      </c>
      <c r="D139" s="6"/>
      <c r="E139" s="6"/>
    </row>
    <row r="140" ht="15.75" customHeight="1">
      <c r="A140" s="4" cm="1">
        <f t="array" ref="A140">$B$3*129/200</f>
        <v>0.3225</v>
      </c>
      <c r="B140" s="4" cm="1">
        <f t="array" ref="B140">SQRT(MAX((($B$5^2+$B$3^2)/(2*$B$5))^2-($B$3-A140)^2,0))-((($B$5^2+$B$3^2)/(2*$B$5))-$B$5)</f>
        <v>0.0349870620752566</v>
      </c>
      <c r="C140" s="4" cm="1">
        <f t="array" ref="C140">MIN($B$5,$B$5*(1-COS(PI()*A140/(2*$B$3)))+($B$7*$B$5)*EXP(-0.5*((A140/$B$3-$B$8)/$B$9)^2))</f>
        <v>0.0210572434961252</v>
      </c>
      <c r="D140" s="6"/>
      <c r="E140" s="6"/>
    </row>
    <row r="141" ht="15.75" customHeight="1">
      <c r="A141" s="4" cm="1">
        <f t="array" ref="A141">$B$3*130/200</f>
        <v>0.325</v>
      </c>
      <c r="B141" s="4" cm="1">
        <f t="array" ref="B141">SQRT(MAX((($B$5^2+$B$3^2)/(2*$B$5))^2-($B$3-A141)^2,0))-((($B$5^2+$B$3^2)/(2*$B$5))-$B$5)</f>
        <v>0.0351273859510859</v>
      </c>
      <c r="C141" s="4" cm="1">
        <f t="array" ref="C141">MIN($B$5,$B$5*(1-COS(PI()*A141/(2*$B$3)))+($B$7*$B$5)*EXP(-0.5*((A141/$B$3-$B$8)/$B$9)^2))</f>
        <v>0.0212576874403125</v>
      </c>
      <c r="D141" s="6"/>
      <c r="E141" s="6"/>
    </row>
    <row r="142" ht="15.75" customHeight="1">
      <c r="A142" s="4" cm="1">
        <f t="array" ref="A142">$B$3*131/200</f>
        <v>0.3275</v>
      </c>
      <c r="B142" s="4" cm="1">
        <f t="array" ref="B142">SQRT(MAX((($B$5^2+$B$3^2)/(2*$B$5))^2-($B$3-A142)^2,0))-((($B$5^2+$B$3^2)/(2*$B$5))-$B$5)</f>
        <v>0.0352657132796903</v>
      </c>
      <c r="C142" s="4" cm="1">
        <f t="array" ref="C142">MIN($B$5,$B$5*(1-COS(PI()*A142/(2*$B$3)))+($B$7*$B$5)*EXP(-0.5*((A142/$B$3-$B$8)/$B$9)^2))</f>
        <v>0.0214598108003611</v>
      </c>
      <c r="D142" s="6"/>
      <c r="E142" s="6"/>
    </row>
    <row r="143" ht="15.75" customHeight="1">
      <c r="A143" s="4" cm="1">
        <f t="array" ref="A143">$B$3*132/200</f>
        <v>0.33</v>
      </c>
      <c r="B143" s="4" cm="1">
        <f t="array" ref="B143">SQRT(MAX((($B$5^2+$B$3^2)/(2*$B$5))^2-($B$3-A143)^2,0))-((($B$5^2+$B$3^2)/(2*$B$5))-$B$5)</f>
        <v>0.0354020443248983</v>
      </c>
      <c r="C143" s="4" cm="1">
        <f t="array" ref="C143">MIN($B$5,$B$5*(1-COS(PI()*A143/(2*$B$3)))+($B$7*$B$5)*EXP(-0.5*((A143/$B$3-$B$8)/$B$9)^2))</f>
        <v>0.0216636858365776</v>
      </c>
      <c r="D143" s="6"/>
      <c r="E143" s="6"/>
    </row>
    <row r="144" ht="15.75" customHeight="1">
      <c r="A144" s="4" cm="1">
        <f t="array" ref="A144">$B$3*133/200</f>
        <v>0.3325</v>
      </c>
      <c r="B144" s="4" cm="1">
        <f t="array" ref="B144">SQRT(MAX((($B$5^2+$B$3^2)/(2*$B$5))^2-($B$3-A144)^2,0))-((($B$5^2+$B$3^2)/(2*$B$5))-$B$5)</f>
        <v>0.0355363793466874</v>
      </c>
      <c r="C144" s="4" cm="1">
        <f t="array" ref="C144">MIN($B$5,$B$5*(1-COS(PI()*A144/(2*$B$3)))+($B$7*$B$5)*EXP(-0.5*((A144/$B$3-$B$8)/$B$9)^2))</f>
        <v>0.0218693808742593</v>
      </c>
      <c r="D144" s="6"/>
      <c r="E144" s="6"/>
    </row>
    <row r="145" ht="15.75" customHeight="1">
      <c r="A145" s="4" cm="1">
        <f t="array" ref="A145">$B$3*134/200</f>
        <v>0.335</v>
      </c>
      <c r="B145" s="4" cm="1">
        <f t="array" ref="B145">SQRT(MAX((($B$5^2+$B$3^2)/(2*$B$5))^2-($B$3-A145)^2,0))-((($B$5^2+$B$3^2)/(2*$B$5))-$B$5)</f>
        <v>0.0356687186011837</v>
      </c>
      <c r="C145" s="4" cm="1">
        <f t="array" ref="C145">MIN($B$5,$B$5*(1-COS(PI()*A145/(2*$B$3)))+($B$7*$B$5)*EXP(-0.5*((A145/$B$3-$B$8)/$B$9)^2))</f>
        <v>0.0220769601682852</v>
      </c>
      <c r="D145" s="6"/>
      <c r="E145" s="6"/>
    </row>
    <row r="146" ht="15.75" customHeight="1">
      <c r="A146" s="4" cm="1">
        <f t="array" ref="A146">$B$3*135/200</f>
        <v>0.3375</v>
      </c>
      <c r="B146" s="4" cm="1">
        <f t="array" ref="B146">SQRT(MAX((($B$5^2+$B$3^2)/(2*$B$5))^2-($B$3-A146)^2,0))-((($B$5^2+$B$3^2)/(2*$B$5))-$B$5)</f>
        <v>0.035799062340665</v>
      </c>
      <c r="C146" s="4" cm="1">
        <f t="array" ref="C146">MIN($B$5,$B$5*(1-COS(PI()*A146/(2*$B$3)))+($B$7*$B$5)*EXP(-0.5*((A146/$B$3-$B$8)/$B$9)^2))</f>
        <v>0.0222864837872083</v>
      </c>
      <c r="D146" s="6"/>
      <c r="E146" s="6"/>
    </row>
    <row r="147" ht="15.75" customHeight="1">
      <c r="A147" s="4" cm="1">
        <f t="array" ref="A147">$B$3*136/200</f>
        <v>0.34</v>
      </c>
      <c r="B147" s="4" cm="1">
        <f t="array" ref="B147">SQRT(MAX((($B$5^2+$B$3^2)/(2*$B$5))^2-($B$3-A147)^2,0))-((($B$5^2+$B$3^2)/(2*$B$5))-$B$5)</f>
        <v>0.0359274108135641</v>
      </c>
      <c r="C147" s="4" cm="1">
        <f t="array" ref="C147">MIN($B$5,$B$5*(1-COS(PI()*A147/(2*$B$3)))+($B$7*$B$5)*EXP(-0.5*((A147/$B$3-$B$8)/$B$9)^2))</f>
        <v>0.0224980075167527</v>
      </c>
      <c r="D147" s="6"/>
      <c r="E147" s="6"/>
    </row>
    <row r="148" ht="15.75" customHeight="1">
      <c r="A148" s="4" cm="1">
        <f t="array" ref="A148">$B$3*137/200</f>
        <v>0.3425</v>
      </c>
      <c r="B148" s="4" cm="1">
        <f t="array" ref="B148">SQRT(MAX((($B$5^2+$B$3^2)/(2*$B$5))^2-($B$3-A148)^2,0))-((($B$5^2+$B$3^2)/(2*$B$5))-$B$5)</f>
        <v>0.0360537642644707</v>
      </c>
      <c r="C148" s="4" cm="1">
        <f t="array" ref="C148">MIN($B$5,$B$5*(1-COS(PI()*A148/(2*$B$3)))+($B$7*$B$5)*EXP(-0.5*((A148/$B$3-$B$8)/$B$9)^2))</f>
        <v>0.022711582782519</v>
      </c>
      <c r="D148" s="6"/>
      <c r="E148" s="6"/>
    </row>
    <row r="149" ht="15.75" customHeight="1">
      <c r="A149" s="4" cm="1">
        <f t="array" ref="A149">$B$3*138/200</f>
        <v>0.345</v>
      </c>
      <c r="B149" s="4" cm="1">
        <f t="array" ref="B149">SQRT(MAX((($B$5^2+$B$3^2)/(2*$B$5))^2-($B$3-A149)^2,0))-((($B$5^2+$B$3^2)/(2*$B$5))-$B$5)</f>
        <v>0.0361781229341327</v>
      </c>
      <c r="C149" s="4" cm="1">
        <f t="array" ref="C149">MIN($B$5,$B$5*(1-COS(PI()*A149/(2*$B$3)))+($B$7*$B$5)*EXP(-0.5*((A149/$B$3-$B$8)/$B$9)^2))</f>
        <v>0.0229272565916058</v>
      </c>
      <c r="D149" s="6"/>
      <c r="E149" s="6"/>
    </row>
    <row r="150" ht="15.75" customHeight="1">
      <c r="A150" s="4" cm="1">
        <f t="array" ref="A150">$B$3*139/200</f>
        <v>0.3475</v>
      </c>
      <c r="B150" s="4" cm="1">
        <f t="array" ref="B150">SQRT(MAX((($B$5^2+$B$3^2)/(2*$B$5))^2-($B$3-A150)^2,0))-((($B$5^2+$B$3^2)/(2*$B$5))-$B$5)</f>
        <v>0.0363004870594601</v>
      </c>
      <c r="C150" s="4" cm="1">
        <f t="array" ref="C150">MIN($B$5,$B$5*(1-COS(PI()*A150/(2*$B$3)))+($B$7*$B$5)*EXP(-0.5*((A150/$B$3-$B$8)/$B$9)^2))</f>
        <v>0.0231450714927661</v>
      </c>
      <c r="D150" s="6"/>
      <c r="E150" s="6"/>
    </row>
    <row r="151" ht="15.75" customHeight="1">
      <c r="A151" s="4" cm="1">
        <f t="array" ref="A151">$B$3*140/200</f>
        <v>0.35</v>
      </c>
      <c r="B151" s="4" cm="1">
        <f t="array" ref="B151">SQRT(MAX((($B$5^2+$B$3^2)/(2*$B$5))^2-($B$3-A151)^2,0))-((($B$5^2+$B$3^2)/(2*$B$5))-$B$5)</f>
        <v>0.0364208568735265</v>
      </c>
      <c r="C151" s="4" cm="1">
        <f t="array" ref="C151">MIN($B$5,$B$5*(1-COS(PI()*A151/(2*$B$3)))+($B$7*$B$5)*EXP(-0.5*((A151/$B$3-$B$8)/$B$9)^2))</f>
        <v>0.0233650655546301</v>
      </c>
      <c r="D151" s="6"/>
      <c r="E151" s="6"/>
    </row>
    <row r="152" ht="15.75" customHeight="1">
      <c r="A152" s="4" cm="1">
        <f t="array" ref="A152">$B$3*141/200</f>
        <v>0.3525</v>
      </c>
      <c r="B152" s="4" cm="1">
        <f t="array" ref="B152">SQRT(MAX((($B$5^2+$B$3^2)/(2*$B$5))^2-($B$3-A152)^2,0))-((($B$5^2+$B$3^2)/(2*$B$5))-$B$5)</f>
        <v>0.0365392326055711</v>
      </c>
      <c r="C152" s="4" cm="1">
        <f t="array" ref="C152">MIN($B$5,$B$5*(1-COS(PI()*A152/(2*$B$3)))+($B$7*$B$5)*EXP(-0.5*((A152/$B$3-$B$8)/$B$9)^2))</f>
        <v>0.0235872723614498</v>
      </c>
      <c r="D152" s="6"/>
      <c r="E152" s="6"/>
    </row>
    <row r="153" ht="15.75" customHeight="1">
      <c r="A153" s="4" cm="1">
        <f t="array" ref="A153">$B$3*142/200</f>
        <v>0.355</v>
      </c>
      <c r="B153" s="4" cm="1">
        <f t="array" ref="B153">SQRT(MAX((($B$5^2+$B$3^2)/(2*$B$5))^2-($B$3-A153)^2,0))-((($B$5^2+$B$3^2)/(2*$B$5))-$B$5)</f>
        <v>0.0366556144810017</v>
      </c>
      <c r="C153" s="4" cm="1">
        <f t="array" ref="C153">MIN($B$5,$B$5*(1-COS(PI()*A153/(2*$B$3)))+($B$7*$B$5)*EXP(-0.5*((A153/$B$3-$B$8)/$B$9)^2))</f>
        <v>0.0238117210257454</v>
      </c>
      <c r="D153" s="6"/>
      <c r="E153" s="6"/>
    </row>
    <row r="154" ht="15.75" customHeight="1">
      <c r="A154" s="4" cm="1">
        <f t="array" ref="A154">$B$3*143/200</f>
        <v>0.3575</v>
      </c>
      <c r="B154" s="4" cm="1">
        <f t="array" ref="B154">SQRT(MAX((($B$5^2+$B$3^2)/(2*$B$5))^2-($B$3-A154)^2,0))-((($B$5^2+$B$3^2)/(2*$B$5))-$B$5)</f>
        <v>0.0367700027213957</v>
      </c>
      <c r="C154" s="4" cm="1">
        <f t="array" ref="C154">MIN($B$5,$B$5*(1-COS(PI()*A154/(2*$B$3)))+($B$7*$B$5)*EXP(-0.5*((A154/$B$3-$B$8)/$B$9)^2))</f>
        <v>0.0240384362171674</v>
      </c>
      <c r="D154" s="6"/>
      <c r="E154" s="6"/>
    </row>
    <row r="155" ht="15.75" customHeight="1">
      <c r="A155" s="4" cm="1">
        <f t="array" ref="A155">$B$3*144/200</f>
        <v>0.36</v>
      </c>
      <c r="B155" s="4" cm="1">
        <f t="array" ref="B155">SQRT(MAX((($B$5^2+$B$3^2)/(2*$B$5))^2-($B$3-A155)^2,0))-((($B$5^2+$B$3^2)/(2*$B$5))-$B$5)</f>
        <v>0.0368823975445038</v>
      </c>
      <c r="C155" s="4" cm="1">
        <f t="array" ref="C155">MIN($B$5,$B$5*(1-COS(PI()*A155/(2*$B$3)))+($B$7*$B$5)*EXP(-0.5*((A155/$B$3-$B$8)/$B$9)^2))</f>
        <v>0.0242674382068305</v>
      </c>
      <c r="D155" s="6"/>
      <c r="E155" s="6"/>
    </row>
    <row r="156" ht="15.75" customHeight="1">
      <c r="A156" s="4" cm="1">
        <f t="array" ref="A156">$B$3*145/200</f>
        <v>0.3625</v>
      </c>
      <c r="B156" s="4" cm="1">
        <f t="array" ref="B156">SQRT(MAX((($B$5^2+$B$3^2)/(2*$B$5))^2-($B$3-A156)^2,0))-((($B$5^2+$B$3^2)/(2*$B$5))-$B$5)</f>
        <v>0.03699279916425</v>
      </c>
      <c r="C156" s="4" cm="1">
        <f t="array" ref="C156">MIN($B$5,$B$5*(1-COS(PI()*A156/(2*$B$3)))+($B$7*$B$5)*EXP(-0.5*((A156/$B$3-$B$8)/$B$9)^2))</f>
        <v>0.0244987429263193</v>
      </c>
      <c r="D156" s="6"/>
      <c r="E156" s="6"/>
    </row>
    <row r="157" ht="15.75" customHeight="1">
      <c r="A157" s="4" cm="1">
        <f t="array" ref="A157">$B$3*146/200</f>
        <v>0.365</v>
      </c>
      <c r="B157" s="4" cm="1">
        <f t="array" ref="B157">SQRT(MAX((($B$5^2+$B$3^2)/(2*$B$5))^2-($B$3-A157)^2,0))-((($B$5^2+$B$3^2)/(2*$B$5))-$B$5)</f>
        <v>0.037101207790736</v>
      </c>
      <c r="C157" s="4" cm="1">
        <f t="array" ref="C157">MIN($B$5,$B$5*(1-COS(PI()*A157/(2*$B$3)))+($B$7*$B$5)*EXP(-0.5*((A157/$B$3-$B$8)/$B$9)^2))</f>
        <v>0.0247323620405213</v>
      </c>
      <c r="D157" s="6"/>
      <c r="E157" s="6"/>
    </row>
    <row r="158" ht="15.75" customHeight="1">
      <c r="A158" s="4" cm="1">
        <f t="array" ref="A158">$B$3*147/200</f>
        <v>0.3675</v>
      </c>
      <c r="B158" s="4" cm="1">
        <f t="array" ref="B158">SQRT(MAX((($B$5^2+$B$3^2)/(2*$B$5))^2-($B$3-A158)^2,0))-((($B$5^2+$B$3^2)/(2*$B$5))-$B$5)</f>
        <v>0.0372076236302403</v>
      </c>
      <c r="C158" s="4" cm="1">
        <f t="array" ref="C158">MIN($B$5,$B$5*(1-COS(PI()*A158/(2*$B$3)))+($B$7*$B$5)*EXP(-0.5*((A158/$B$3-$B$8)/$B$9)^2))</f>
        <v>0.0249683030334035</v>
      </c>
      <c r="D158" s="6"/>
      <c r="E158" s="6"/>
    </row>
    <row r="159" ht="15.75" customHeight="1">
      <c r="A159" s="4" cm="1">
        <f t="array" ref="A159">$B$3*148/200</f>
        <v>0.37</v>
      </c>
      <c r="B159" s="4" cm="1">
        <f t="array" ref="B159">SQRT(MAX((($B$5^2+$B$3^2)/(2*$B$5))^2-($B$3-A159)^2,0))-((($B$5^2+$B$3^2)/(2*$B$5))-$B$5)</f>
        <v>0.0373120468852233</v>
      </c>
      <c r="C159" s="4" cm="1">
        <f t="array" ref="C159">MIN($B$5,$B$5*(1-COS(PI()*A159/(2*$B$3)))+($B$7*$B$5)*EXP(-0.5*((A159/$B$3-$B$8)/$B$9)^2))</f>
        <v>0.0252065693058159</v>
      </c>
      <c r="D159" s="6"/>
      <c r="E159" s="6"/>
    </row>
    <row r="160" ht="15.75" customHeight="1">
      <c r="A160" s="4" cm="1">
        <f t="array" ref="A160">$B$3*149/200</f>
        <v>0.3725</v>
      </c>
      <c r="B160" s="4" cm="1">
        <f t="array" ref="B160">SQRT(MAX((($B$5^2+$B$3^2)/(2*$B$5))^2-($B$3-A160)^2,0))-((($B$5^2+$B$3^2)/(2*$B$5))-$B$5)</f>
        <v>0.0374144777543273</v>
      </c>
      <c r="C160" s="4" cm="1">
        <f t="array" ref="C160">MIN($B$5,$B$5*(1-COS(PI()*A160/(2*$B$3)))+($B$7*$B$5)*EXP(-0.5*((A160/$B$3-$B$8)/$B$9)^2))</f>
        <v>0.0254471602843807</v>
      </c>
      <c r="D160" s="6"/>
      <c r="E160" s="6"/>
    </row>
    <row r="161" ht="15.75" customHeight="1">
      <c r="A161" s="4" cm="1">
        <f t="array" ref="A161">$B$3*150/200</f>
        <v>0.375</v>
      </c>
      <c r="B161" s="4" cm="1">
        <f t="array" ref="B161">SQRT(MAX((($B$5^2+$B$3^2)/(2*$B$5))^2-($B$3-A161)^2,0))-((($B$5^2+$B$3^2)/(2*$B$5))-$B$5)</f>
        <v>0.0375149164323787</v>
      </c>
      <c r="C161" s="4" cm="1">
        <f t="array" ref="C161">MIN($B$5,$B$5*(1-COS(PI()*A161/(2*$B$3)))+($B$7*$B$5)*EXP(-0.5*((A161/$B$3-$B$8)/$B$9)^2))</f>
        <v>0.0256900715405056</v>
      </c>
      <c r="D161" s="6"/>
      <c r="E161" s="6"/>
    </row>
    <row r="162" ht="15.75" customHeight="1">
      <c r="A162" s="4" cm="1">
        <f t="array" ref="A162">$B$3*151/200</f>
        <v>0.3775</v>
      </c>
      <c r="B162" s="4" cm="1">
        <f t="array" ref="B162">SQRT(MAX((($B$5^2+$B$3^2)/(2*$B$5))^2-($B$3-A162)^2,0))-((($B$5^2+$B$3^2)/(2*$B$5))-$B$5)</f>
        <v>0.0376133631103905</v>
      </c>
      <c r="C162" s="4" cm="1">
        <f t="array" ref="C162">MIN($B$5,$B$5*(1-COS(PI()*A162/(2*$B$3)))+($B$7*$B$5)*EXP(-0.5*((A162/$B$3-$B$8)/$B$9)^2))</f>
        <v>0.0259352949185493</v>
      </c>
      <c r="D162" s="6"/>
      <c r="E162" s="6"/>
    </row>
    <row r="163" ht="15.75" customHeight="1">
      <c r="A163" s="4" cm="1">
        <f t="array" ref="A163">$B$3*152/200</f>
        <v>0.38</v>
      </c>
      <c r="B163" s="4" cm="1">
        <f t="array" ref="B163">SQRT(MAX((($B$5^2+$B$3^2)/(2*$B$5))^2-($B$3-A163)^2,0))-((($B$5^2+$B$3^2)/(2*$B$5))-$B$5)</f>
        <v>0.0377098179755637</v>
      </c>
      <c r="C163" s="4" cm="1">
        <f t="array" ref="C163">MIN($B$5,$B$5*(1-COS(PI()*A163/(2*$B$3)))+($B$7*$B$5)*EXP(-0.5*((A163/$B$3-$B$8)/$B$9)^2))</f>
        <v>0.0261828186721607</v>
      </c>
      <c r="D163" s="6"/>
      <c r="E163" s="6"/>
    </row>
    <row r="164" ht="15.75" customHeight="1">
      <c r="A164" s="4" cm="1">
        <f t="array" ref="A164">$B$3*153/200</f>
        <v>0.3825</v>
      </c>
      <c r="B164" s="4" cm="1">
        <f t="array" ref="B164">SQRT(MAX((($B$5^2+$B$3^2)/(2*$B$5))^2-($B$3-A164)^2,0))-((($B$5^2+$B$3^2)/(2*$B$5))-$B$5)</f>
        <v>0.037804281211288</v>
      </c>
      <c r="C164" s="4" cm="1">
        <f t="array" ref="C164">MIN($B$5,$B$5*(1-COS(PI()*A164/(2*$B$3)))+($B$7*$B$5)*EXP(-0.5*((A164/$B$3-$B$8)/$B$9)^2))</f>
        <v>0.0264326276078139</v>
      </c>
      <c r="D164" s="6"/>
      <c r="E164" s="6"/>
    </row>
    <row r="165" ht="15.75" customHeight="1">
      <c r="A165" s="4" cm="1">
        <f t="array" ref="A165">$B$3*154/200</f>
        <v>0.385</v>
      </c>
      <c r="B165" s="4" cm="1">
        <f t="array" ref="B165">SQRT(MAX((($B$5^2+$B$3^2)/(2*$B$5))^2-($B$3-A165)^2,0))-((($B$5^2+$B$3^2)/(2*$B$5))-$B$5)</f>
        <v>0.0378967529971454</v>
      </c>
      <c r="C165" s="4" cm="1">
        <f t="array" ref="C165">MIN($B$5,$B$5*(1-COS(PI()*A165/(2*$B$3)))+($B$7*$B$5)*EXP(-0.5*((A165/$B$3-$B$8)/$B$9)^2))</f>
        <v>0.0266847032345665</v>
      </c>
      <c r="D165" s="6"/>
      <c r="E165" s="6"/>
    </row>
    <row r="166" ht="15.75" customHeight="1">
      <c r="A166" s="4" cm="1">
        <f t="array" ref="A166">$B$3*155/200</f>
        <v>0.3875</v>
      </c>
      <c r="B166" s="4" cm="1">
        <f t="array" ref="B166">SQRT(MAX((($B$5^2+$B$3^2)/(2*$B$5))^2-($B$3-A166)^2,0))-((($B$5^2+$B$3^2)/(2*$B$5))-$B$5)</f>
        <v>0.0379872335089115</v>
      </c>
      <c r="C166" s="4" cm="1">
        <f t="array" ref="C166">MIN($B$5,$B$5*(1-COS(PI()*A166/(2*$B$3)))+($B$7*$B$5)*EXP(-0.5*((A166/$B$3-$B$8)/$B$9)^2))</f>
        <v>0.0269390239190831</v>
      </c>
      <c r="D166" s="6"/>
      <c r="E166" s="6"/>
    </row>
    <row r="167" ht="15.75" customHeight="1">
      <c r="A167" s="4" cm="1">
        <f t="array" ref="A167">$B$3*156/200</f>
        <v>0.39</v>
      </c>
      <c r="B167" s="4" cm="1">
        <f t="array" ref="B167">SQRT(MAX((($B$5^2+$B$3^2)/(2*$B$5))^2-($B$3-A167)^2,0))-((($B$5^2+$B$3^2)/(2*$B$5))-$B$5)</f>
        <v>0.0380757229185557</v>
      </c>
      <c r="C167" s="4" cm="1">
        <f t="array" ref="C167">MIN($B$5,$B$5*(1-COS(PI()*A167/(2*$B$3)))+($B$7*$B$5)*EXP(-0.5*((A167/$B$3-$B$8)/$B$9)^2))</f>
        <v>0.0271955650449791</v>
      </c>
      <c r="D167" s="6"/>
      <c r="E167" s="6"/>
    </row>
    <row r="168" ht="15.75" customHeight="1">
      <c r="A168" s="4" cm="1">
        <f t="array" ref="A168">$B$3*157/200</f>
        <v>0.3925</v>
      </c>
      <c r="B168" s="4" cm="1">
        <f t="array" ref="B168">SQRT(MAX((($B$5^2+$B$3^2)/(2*$B$5))^2-($B$3-A168)^2,0))-((($B$5^2+$B$3^2)/(2*$B$5))-$B$5)</f>
        <v>0.0381622213942445</v>
      </c>
      <c r="C168" s="4" cm="1">
        <f t="array" ref="C168">MIN($B$5,$B$5*(1-COS(PI()*A168/(2*$B$3)))+($B$7*$B$5)*EXP(-0.5*((A168/$B$3-$B$8)/$B$9)^2))</f>
        <v>0.0274542991755664</v>
      </c>
      <c r="D168" s="6"/>
      <c r="E168" s="6"/>
    </row>
    <row r="169" ht="15.75" customHeight="1">
      <c r="A169" s="4" cm="1">
        <f t="array" ref="A169">$B$3*158/200</f>
        <v>0.395</v>
      </c>
      <c r="B169" s="4" cm="1">
        <f t="array" ref="B169">SQRT(MAX((($B$5^2+$B$3^2)/(2*$B$5))^2-($B$3-A169)^2,0))-((($B$5^2+$B$3^2)/(2*$B$5))-$B$5)</f>
        <v>0.0382467291003423</v>
      </c>
      <c r="C169" s="4" cm="1">
        <f t="array" ref="C169">MIN($B$5,$B$5*(1-COS(PI()*A169/(2*$B$3)))+($B$7*$B$5)*EXP(-0.5*((A169/$B$3-$B$8)/$B$9)^2))</f>
        <v>0.0277151962191042</v>
      </c>
      <c r="D169" s="6"/>
      <c r="E169" s="6"/>
    </row>
    <row r="170" ht="15.75" customHeight="1">
      <c r="A170" s="4" cm="1">
        <f t="array" ref="A170">$B$3*159/200</f>
        <v>0.3975</v>
      </c>
      <c r="B170" s="4" cm="1">
        <f t="array" ref="B170">SQRT(MAX((($B$5^2+$B$3^2)/(2*$B$5))^2-($B$3-A170)^2,0))-((($B$5^2+$B$3^2)/(2*$B$5))-$B$5)</f>
        <v>0.0383292461974136</v>
      </c>
      <c r="C170" s="4" cm="1">
        <f t="array" ref="C170">MIN($B$5,$B$5*(1-COS(PI()*A170/(2*$B$3)))+($B$7*$B$5)*EXP(-0.5*((A170/$B$3-$B$8)/$B$9)^2))</f>
        <v>0.0279782235956934</v>
      </c>
      <c r="D170" s="6"/>
      <c r="E170" s="6"/>
    </row>
    <row r="171" ht="15.75" customHeight="1">
      <c r="A171" s="4" cm="1">
        <f t="array" ref="A171">$B$3*160/200</f>
        <v>0.4</v>
      </c>
      <c r="B171" s="4" cm="1">
        <f t="array" ref="B171">SQRT(MAX((($B$5^2+$B$3^2)/(2*$B$5))^2-($B$3-A171)^2,0))-((($B$5^2+$B$3^2)/(2*$B$5))-$B$5)</f>
        <v>0.0384097728422237</v>
      </c>
      <c r="C171" s="4" cm="1">
        <f t="array" ref="C171">MIN($B$5,$B$5*(1-COS(PI()*A171/(2*$B$3)))+($B$7*$B$5)*EXP(-0.5*((A171/$B$3-$B$8)/$B$9)^2))</f>
        <v>0.0282433464049841</v>
      </c>
      <c r="D171" s="6"/>
      <c r="E171" s="6"/>
    </row>
    <row r="172" ht="15.75" customHeight="1">
      <c r="A172" s="4" cm="1">
        <f t="array" ref="A172">$B$3*161/200</f>
        <v>0.4025</v>
      </c>
      <c r="B172" s="4" cm="1">
        <f t="array" ref="B172">SQRT(MAX((($B$5^2+$B$3^2)/(2*$B$5))^2-($B$3-A172)^2,0))-((($B$5^2+$B$3^2)/(2*$B$5))-$B$5)</f>
        <v>0.0384883091877408</v>
      </c>
      <c r="C172" s="4" cm="1">
        <f t="array" ref="C172">MIN($B$5,$B$5*(1-COS(PI()*A172/(2*$B$3)))+($B$7*$B$5)*EXP(-0.5*((A172/$B$3-$B$8)/$B$9)^2))</f>
        <v>0.0285105275939036</v>
      </c>
      <c r="D172" s="6"/>
      <c r="E172" s="6"/>
    </row>
    <row r="173" ht="15.75" customHeight="1">
      <c r="A173" s="4" cm="1">
        <f t="array" ref="A173">$B$3*162/200</f>
        <v>0.405</v>
      </c>
      <c r="B173" s="4" cm="1">
        <f t="array" ref="B173">SQRT(MAX((($B$5^2+$B$3^2)/(2*$B$5))^2-($B$3-A173)^2,0))-((($B$5^2+$B$3^2)/(2*$B$5))-$B$5)</f>
        <v>0.0385648553831368</v>
      </c>
      <c r="C173" s="4" cm="1">
        <f t="array" ref="C173">MIN($B$5,$B$5*(1-COS(PI()*A173/(2*$B$3)))+($B$7*$B$5)*EXP(-0.5*((A173/$B$3-$B$8)/$B$9)^2))</f>
        <v>0.0287797281236543</v>
      </c>
      <c r="D173" s="6"/>
      <c r="E173" s="6"/>
    </row>
    <row r="174" ht="15.75" customHeight="1">
      <c r="A174" s="4" cm="1">
        <f t="array" ref="A174">$B$3*163/200</f>
        <v>0.4075</v>
      </c>
      <c r="B174" s="4" cm="1">
        <f t="array" ref="B174">SQRT(MAX((($B$5^2+$B$3^2)/(2*$B$5))^2-($B$3-A174)^2,0))-((($B$5^2+$B$3^2)/(2*$B$5))-$B$5)</f>
        <v>0.0386394115737896</v>
      </c>
      <c r="C174" s="4" cm="1">
        <f t="array" ref="C174">MIN($B$5,$B$5*(1-COS(PI()*A174/(2*$B$3)))+($B$7*$B$5)*EXP(-0.5*((A174/$B$3-$B$8)/$B$9)^2))</f>
        <v>0.0290509071352725</v>
      </c>
      <c r="D174" s="6"/>
      <c r="E174" s="6"/>
    </row>
    <row r="175" ht="15.75" customHeight="1">
      <c r="A175" s="4" cm="1">
        <f t="array" ref="A175">$B$3*164/200</f>
        <v>0.41</v>
      </c>
      <c r="B175" s="4" cm="1">
        <f t="array" ref="B175">SQRT(MAX((($B$5^2+$B$3^2)/(2*$B$5))^2-($B$3-A175)^2,0))-((($B$5^2+$B$3^2)/(2*$B$5))-$B$5)</f>
        <v>0.0387119779012836</v>
      </c>
      <c r="C175" s="4" cm="1">
        <f t="array" ref="C175">MIN($B$5,$B$5*(1-COS(PI()*A175/(2*$B$3)))+($B$7*$B$5)*EXP(-0.5*((A175/$B$3-$B$8)/$B$9)^2))</f>
        <v>0.0293240221130834</v>
      </c>
      <c r="D175" s="6"/>
      <c r="E175" s="6"/>
    </row>
    <row r="176" ht="15.75" customHeight="1">
      <c r="A176" s="4" cm="1">
        <f t="array" ref="A176">$B$3*165/200</f>
        <v>0.4125</v>
      </c>
      <c r="B176" s="4" cm="1">
        <f t="array" ref="B176">SQRT(MAX((($B$5^2+$B$3^2)/(2*$B$5))^2-($B$3-A176)^2,0))-((($B$5^2+$B$3^2)/(2*$B$5))-$B$5)</f>
        <v>0.0387825545034124</v>
      </c>
      <c r="C176" s="4" cm="1">
        <f t="array" ref="C176">MIN($B$5,$B$5*(1-COS(PI()*A176/(2*$B$3)))+($B$7*$B$5)*EXP(-0.5*((A176/$B$3-$B$8)/$B$9)^2))</f>
        <v>0.0295990290454358</v>
      </c>
      <c r="D176" s="6"/>
      <c r="E176" s="6"/>
    </row>
    <row r="177" ht="15.75" customHeight="1">
      <c r="A177" s="4" cm="1">
        <f t="array" ref="A177">$B$3*166/200</f>
        <v>0.415</v>
      </c>
      <c r="B177" s="4" cm="1">
        <f t="array" ref="B177">SQRT(MAX((($B$5^2+$B$3^2)/(2*$B$5))^2-($B$3-A177)^2,0))-((($B$5^2+$B$3^2)/(2*$B$5))-$B$5)</f>
        <v>0.0388511415141783</v>
      </c>
      <c r="C177" s="4" cm="1">
        <f t="array" ref="C177">MIN($B$5,$B$5*(1-COS(PI()*A177/(2*$B$3)))+($B$7*$B$5)*EXP(-0.5*((A177/$B$3-$B$8)/$B$9)^2))</f>
        <v>0.0298758825821452</v>
      </c>
      <c r="D177" s="6"/>
      <c r="E177" s="6"/>
    </row>
    <row r="178" ht="15.75" customHeight="1">
      <c r="A178" s="4" cm="1">
        <f t="array" ref="A178">$B$3*167/200</f>
        <v>0.4175</v>
      </c>
      <c r="B178" s="4" cm="1">
        <f t="array" ref="B178">SQRT(MAX((($B$5^2+$B$3^2)/(2*$B$5))^2-($B$3-A178)^2,0))-((($B$5^2+$B$3^2)/(2*$B$5))-$B$5)</f>
        <v>0.0389177390637942</v>
      </c>
      <c r="C178" s="4" cm="1">
        <f t="array" ref="C178">MIN($B$5,$B$5*(1-COS(PI()*A178/(2*$B$3)))+($B$7*$B$5)*EXP(-0.5*((A178/$B$3-$B$8)/$B$9)^2))</f>
        <v>0.0301545361881257</v>
      </c>
      <c r="D178" s="6"/>
      <c r="E178" s="6"/>
    </row>
    <row r="179" ht="15.75" customHeight="1">
      <c r="A179" s="4" cm="1">
        <f t="array" ref="A179">$B$3*168/200</f>
        <v>0.42</v>
      </c>
      <c r="B179" s="4" cm="1">
        <f t="array" ref="B179">SQRT(MAX((($B$5^2+$B$3^2)/(2*$B$5))^2-($B$3-A179)^2,0))-((($B$5^2+$B$3^2)/(2*$B$5))-$B$5)</f>
        <v>0.038982347278687</v>
      </c>
      <c r="C179" s="4" cm="1">
        <f t="array" ref="C179">MIN($B$5,$B$5*(1-COS(PI()*A179/(2*$B$3)))+($B$7*$B$5)*EXP(-0.5*((A179/$B$3-$B$8)/$B$9)^2))</f>
        <v>0.030434942292736</v>
      </c>
      <c r="D179" s="6"/>
      <c r="E179" s="6"/>
    </row>
    <row r="180" ht="15.75" customHeight="1">
      <c r="A180" s="4" cm="1">
        <f t="array" ref="A180">$B$3*169/200</f>
        <v>0.4225</v>
      </c>
      <c r="B180" s="4" cm="1">
        <f t="array" ref="B180">SQRT(MAX((($B$5^2+$B$3^2)/(2*$B$5))^2-($B$3-A180)^2,0))-((($B$5^2+$B$3^2)/(2*$B$5))-$B$5)</f>
        <v>0.039044966281494</v>
      </c>
      <c r="C180" s="4" cm="1">
        <f t="array" ref="C180">MIN($B$5,$B$5*(1-COS(PI()*A180/(2*$B$3)))+($B$7*$B$5)*EXP(-0.5*((A180/$B$3-$B$8)/$B$9)^2))</f>
        <v>0.0307170524344184</v>
      </c>
      <c r="D180" s="6"/>
      <c r="E180" s="6"/>
    </row>
    <row r="181" ht="15.75" customHeight="1">
      <c r="A181" s="4" cm="1">
        <f t="array" ref="A181">$B$3*170/200</f>
        <v>0.425</v>
      </c>
      <c r="B181" s="4" cm="1">
        <f t="array" ref="B181">SQRT(MAX((($B$5^2+$B$3^2)/(2*$B$5))^2-($B$3-A181)^2,0))-((($B$5^2+$B$3^2)/(2*$B$5))-$B$5)</f>
        <v>0.0391055961910696</v>
      </c>
      <c r="C181" s="4" cm="1">
        <f t="array" ref="C181">MIN($B$5,$B$5*(1-COS(PI()*A181/(2*$B$3)))+($B$7*$B$5)*EXP(-0.5*((A181/$B$3-$B$8)/$B$9)^2))</f>
        <v>0.0310008174002539</v>
      </c>
      <c r="D181" s="6"/>
      <c r="E181" s="6"/>
    </row>
    <row r="182" ht="15.75" customHeight="1">
      <c r="A182" s="4" cm="1">
        <f t="array" ref="A182">$B$3*171/200</f>
        <v>0.4275</v>
      </c>
      <c r="B182" s="4" cm="1">
        <f t="array" ref="B182">SQRT(MAX((($B$5^2+$B$3^2)/(2*$B$5))^2-($B$3-A182)^2,0))-((($B$5^2+$B$3^2)/(2*$B$5))-$B$5)</f>
        <v>0.0391642371224821</v>
      </c>
      <c r="C182" s="4" cm="1">
        <f t="array" ref="C182">MIN($B$5,$B$5*(1-COS(PI()*A182/(2*$B$3)))+($B$7*$B$5)*EXP(-0.5*((A182/$B$3-$B$8)/$B$9)^2))</f>
        <v>0.0312861873601088</v>
      </c>
      <c r="D182" s="6"/>
      <c r="E182" s="6"/>
    </row>
    <row r="183" ht="15.75" customHeight="1">
      <c r="A183" s="4" cm="1">
        <f t="array" ref="A183">$B$3*172/200</f>
        <v>0.43</v>
      </c>
      <c r="B183" s="4" cm="1">
        <f t="array" ref="B183">SQRT(MAX((($B$5^2+$B$3^2)/(2*$B$5))^2-($B$3-A183)^2,0))-((($B$5^2+$B$3^2)/(2*$B$5))-$B$5)</f>
        <v>0.039220889187018</v>
      </c>
      <c r="C183" s="4" cm="1">
        <f t="array" ref="C183">MIN($B$5,$B$5*(1-COS(PI()*A183/(2*$B$3)))+($B$7*$B$5)*EXP(-0.5*((A183/$B$3-$B$8)/$B$9)^2))</f>
        <v>0.031573111995092</v>
      </c>
      <c r="D183" s="6"/>
      <c r="E183" s="6"/>
    </row>
    <row r="184" ht="15.75" customHeight="1">
      <c r="A184" s="4" cm="1">
        <f t="array" ref="A184">$B$3*173/200</f>
        <v>0.4325</v>
      </c>
      <c r="B184" s="4" cm="1">
        <f t="array" ref="B184">SQRT(MAX((($B$5^2+$B$3^2)/(2*$B$5))^2-($B$3-A184)^2,0))-((($B$5^2+$B$3^2)/(2*$B$5))-$B$5)</f>
        <v>0.0392755524921795</v>
      </c>
      <c r="C184" s="4" cm="1">
        <f t="array" ref="C184">MIN($B$5,$B$5*(1-COS(PI()*A184/(2*$B$3)))+($B$7*$B$5)*EXP(-0.5*((A184/$B$3-$B$8)/$B$9)^2))</f>
        <v>0.0318615406200923</v>
      </c>
      <c r="D184" s="6"/>
      <c r="E184" s="6"/>
    </row>
    <row r="185" ht="15.75" customHeight="1">
      <c r="A185" s="4" cm="1">
        <f t="array" ref="A185">$B$3*174/200</f>
        <v>0.435</v>
      </c>
      <c r="B185" s="4" cm="1">
        <f t="array" ref="B185">SQRT(MAX((($B$5^2+$B$3^2)/(2*$B$5))^2-($B$3-A185)^2,0))-((($B$5^2+$B$3^2)/(2*$B$5))-$B$5)</f>
        <v>0.0393282271416897</v>
      </c>
      <c r="C185" s="4" cm="1">
        <f t="array" ref="C185">MIN($B$5,$B$5*(1-COS(PI()*A185/(2*$B$3)))+($B$7*$B$5)*EXP(-0.5*((A185/$B$3-$B$8)/$B$9)^2))</f>
        <v>0.0321514223002056</v>
      </c>
      <c r="D185" s="6"/>
      <c r="E185" s="6"/>
    </row>
    <row r="186" ht="15.75" customHeight="1">
      <c r="A186" s="4" cm="1">
        <f t="array" ref="A186">$B$3*175/200</f>
        <v>0.4375</v>
      </c>
      <c r="B186" s="4" cm="1">
        <f t="array" ref="B186">SQRT(MAX((($B$5^2+$B$3^2)/(2*$B$5))^2-($B$3-A186)^2,0))-((($B$5^2+$B$3^2)/(2*$B$5))-$B$5)</f>
        <v>0.03937891323549</v>
      </c>
      <c r="C186" s="4" cm="1">
        <f t="array" ref="C186">MIN($B$5,$B$5*(1-COS(PI()*A186/(2*$B$3)))+($B$7*$B$5)*EXP(-0.5*((A186/$B$3-$B$8)/$B$9)^2))</f>
        <v>0.0324427059609096</v>
      </c>
      <c r="D186" s="6"/>
      <c r="E186" s="6"/>
    </row>
    <row r="187" ht="15.75" customHeight="1">
      <c r="A187" s="4" cm="1">
        <f t="array" ref="A187">$B$3*176/200</f>
        <v>0.44</v>
      </c>
      <c r="B187" s="4" cm="1">
        <f t="array" ref="B187">SQRT(MAX((($B$5^2+$B$3^2)/(2*$B$5))^2-($B$3-A187)^2,0))-((($B$5^2+$B$3^2)/(2*$B$5))-$B$5)</f>
        <v>0.0394276108697431</v>
      </c>
      <c r="C187" s="4" cm="1">
        <f t="array" ref="C187">MIN($B$5,$B$5*(1-COS(PI()*A187/(2*$B$3)))+($B$7*$B$5)*EXP(-0.5*((A187/$B$3-$B$8)/$B$9)^2))</f>
        <v>0.0327353404918812</v>
      </c>
      <c r="D187" s="6"/>
      <c r="E187" s="6"/>
    </row>
    <row r="188" ht="15.75" customHeight="1">
      <c r="A188" s="4" cm="1">
        <f t="array" ref="A188">$B$3*177/200</f>
        <v>0.4425</v>
      </c>
      <c r="B188" s="4" cm="1">
        <f t="array" ref="B188">SQRT(MAX((($B$5^2+$B$3^2)/(2*$B$5))^2-($B$3-A188)^2,0))-((($B$5^2+$B$3^2)/(2*$B$5))-$B$5)</f>
        <v>0.0394743201368337</v>
      </c>
      <c r="C188" s="4" cm="1">
        <f t="array" ref="C188">MIN($B$5,$B$5*(1-COS(PI()*A188/(2*$B$3)))+($B$7*$B$5)*EXP(-0.5*((A188/$B$3-$B$8)/$B$9)^2))</f>
        <v>0.0330292748443948</v>
      </c>
      <c r="D188" s="6"/>
      <c r="E188" s="6"/>
    </row>
    <row r="189" ht="15.75" customHeight="1">
      <c r="A189" s="4" cm="1">
        <f t="array" ref="A189">$B$3*178/200</f>
        <v>0.445</v>
      </c>
      <c r="B189" s="4" cm="1">
        <f t="array" ref="B189">SQRT(MAX((($B$5^2+$B$3^2)/(2*$B$5))^2-($B$3-A189)^2,0))-((($B$5^2+$B$3^2)/(2*$B$5))-$B$5)</f>
        <v>0.0395190411253678</v>
      </c>
      <c r="C189" s="4" cm="1">
        <f t="array" ref="C189">MIN($B$5,$B$5*(1-COS(PI()*A189/(2*$B$3)))+($B$7*$B$5)*EXP(-0.5*((A189/$B$3-$B$8)/$B$9)^2))</f>
        <v>0.0333244581222746</v>
      </c>
      <c r="D189" s="6"/>
      <c r="E189" s="6"/>
    </row>
    <row r="190" ht="15.75" customHeight="1">
      <c r="A190" s="4" cm="1">
        <f t="array" ref="A190">$B$3*179/200</f>
        <v>0.4475</v>
      </c>
      <c r="B190" s="4" cm="1">
        <f t="array" ref="B190">SQRT(MAX((($B$5^2+$B$3^2)/(2*$B$5))^2-($B$3-A190)^2,0))-((($B$5^2+$B$3^2)/(2*$B$5))-$B$5)</f>
        <v>0.0395617739201754</v>
      </c>
      <c r="C190" s="4" cm="1">
        <f t="array" ref="C190">MIN($B$5,$B$5*(1-COS(PI()*A190/(2*$B$3)))+($B$7*$B$5)*EXP(-0.5*((A190/$B$3-$B$8)/$B$9)^2))</f>
        <v>0.0336208396664113</v>
      </c>
      <c r="D190" s="6"/>
      <c r="E190" s="6"/>
    </row>
    <row r="191" ht="15.75" customHeight="1">
      <c r="A191" s="4" cm="1">
        <f t="array" ref="A191">$B$3*180/200</f>
        <v>0.45</v>
      </c>
      <c r="B191" s="4" cm="1">
        <f t="array" ref="B191">SQRT(MAX((($B$5^2+$B$3^2)/(2*$B$5))^2-($B$3-A191)^2,0))-((($B$5^2+$B$3^2)/(2*$B$5))-$B$5)</f>
        <v>0.0396025186023117</v>
      </c>
      <c r="C191" s="4" cm="1">
        <f t="array" ref="C191">MIN($B$5,$B$5*(1-COS(PI()*A191/(2*$B$3)))+($B$7*$B$5)*EXP(-0.5*((A191/$B$3-$B$8)/$B$9)^2))</f>
        <v>0.0339183691328844</v>
      </c>
      <c r="D191" s="6"/>
      <c r="E191" s="6"/>
    </row>
    <row r="192" ht="15.75" customHeight="1">
      <c r="A192" s="4" cm="1">
        <f t="array" ref="A192">$B$3*181/200</f>
        <v>0.4525</v>
      </c>
      <c r="B192" s="4" cm="1">
        <f t="array" ref="B192">SQRT(MAX((($B$5^2+$B$3^2)/(2*$B$5))^2-($B$3-A192)^2,0))-((($B$5^2+$B$3^2)/(2*$B$5))-$B$5)</f>
        <v>0.0396412752490547</v>
      </c>
      <c r="C192" s="4" cm="1">
        <f t="array" ref="C192">MIN($B$5,$B$5*(1-COS(PI()*A192/(2*$B$3)))+($B$7*$B$5)*EXP(-0.5*((A192/$B$3-$B$8)/$B$9)^2))</f>
        <v>0.034216996564765</v>
      </c>
      <c r="D192" s="6"/>
      <c r="E192" s="6"/>
    </row>
    <row r="193" ht="15.75" customHeight="1">
      <c r="A193" s="4" cm="1">
        <f t="array" ref="A193">$B$3*182/200</f>
        <v>0.455</v>
      </c>
      <c r="B193" s="4" cm="1">
        <f t="array" ref="B193">SQRT(MAX((($B$5^2+$B$3^2)/(2*$B$5))^2-($B$3-A193)^2,0))-((($B$5^2+$B$3^2)/(2*$B$5))-$B$5)</f>
        <v>0.0396780439339097</v>
      </c>
      <c r="C193" s="4" cm="1">
        <f t="array" ref="C193">MIN($B$5,$B$5*(1-COS(PI()*A193/(2*$B$3)))+($B$7*$B$5)*EXP(-0.5*((A193/$B$3-$B$8)/$B$9)^2))</f>
        <v>0.0345166724576988</v>
      </c>
      <c r="D193" s="6"/>
      <c r="E193" s="6"/>
    </row>
    <row r="194" ht="15.75" customHeight="1">
      <c r="A194" s="4" cm="1">
        <f t="array" ref="A194">$B$3*183/200</f>
        <v>0.4575</v>
      </c>
      <c r="B194" s="4" cm="1">
        <f t="array" ref="B194">SQRT(MAX((($B$5^2+$B$3^2)/(2*$B$5))^2-($B$3-A194)^2,0))-((($B$5^2+$B$3^2)/(2*$B$5))-$B$5)</f>
        <v>0.0397128247266081</v>
      </c>
      <c r="C194" s="4" cm="1">
        <f t="array" ref="C194">MIN($B$5,$B$5*(1-COS(PI()*A194/(2*$B$3)))+($B$7*$B$5)*EXP(-0.5*((A194/$B$3-$B$8)/$B$9)^2))</f>
        <v>0.034817347819397</v>
      </c>
      <c r="D194" s="6"/>
      <c r="E194" s="6"/>
    </row>
    <row r="195" ht="15.75" customHeight="1">
      <c r="A195" s="4" cm="1">
        <f t="array" ref="A195">$B$3*184/200</f>
        <v>0.46</v>
      </c>
      <c r="B195" s="4" cm="1">
        <f t="array" ref="B195">SQRT(MAX((($B$5^2+$B$3^2)/(2*$B$5))^2-($B$3-A195)^2,0))-((($B$5^2+$B$3^2)/(2*$B$5))-$B$5)</f>
        <v>0.0397456176931068</v>
      </c>
      <c r="C195" s="4" cm="1">
        <f t="array" ref="C195">MIN($B$5,$B$5*(1-COS(PI()*A195/(2*$B$3)))+($B$7*$B$5)*EXP(-0.5*((A195/$B$3-$B$8)/$B$9)^2))</f>
        <v>0.0351189742231854</v>
      </c>
      <c r="D195" s="6"/>
      <c r="E195" s="6"/>
    </row>
    <row r="196" ht="15.75" customHeight="1">
      <c r="A196" s="4" cm="1">
        <f t="array" ref="A196">$B$3*185/200</f>
        <v>0.4625</v>
      </c>
      <c r="B196" s="4" cm="1">
        <f t="array" ref="B196">SQRT(MAX((($B$5^2+$B$3^2)/(2*$B$5))^2-($B$3-A196)^2,0))-((($B$5^2+$B$3^2)/(2*$B$5))-$B$5)</f>
        <v>0.039776422895593</v>
      </c>
      <c r="C196" s="4" cm="1">
        <f t="array" ref="C196">MIN($B$5,$B$5*(1-COS(PI()*A196/(2*$B$3)))+($B$7*$B$5)*EXP(-0.5*((A196/$B$3-$B$8)/$B$9)^2))</f>
        <v>0.0354215038557826</v>
      </c>
      <c r="D196" s="6"/>
      <c r="E196" s="6"/>
    </row>
    <row r="197" ht="15.75" customHeight="1">
      <c r="A197" s="4" cm="1">
        <f t="array" ref="A197">$B$3*186/200</f>
        <v>0.465</v>
      </c>
      <c r="B197" s="4" cm="1">
        <f t="array" ref="B197">SQRT(MAX((($B$5^2+$B$3^2)/(2*$B$5))^2-($B$3-A197)^2,0))-((($B$5^2+$B$3^2)/(2*$B$5))-$B$5)</f>
        <v>0.0398052403924795</v>
      </c>
      <c r="C197" s="4" cm="1">
        <f t="array" ref="C197">MIN($B$5,$B$5*(1-COS(PI()*A197/(2*$B$3)))+($B$7*$B$5)*EXP(-0.5*((A197/$B$3-$B$8)/$B$9)^2))</f>
        <v>0.0357248895594964</v>
      </c>
      <c r="D197" s="6"/>
      <c r="E197" s="6"/>
    </row>
    <row r="198" ht="15.75" customHeight="1">
      <c r="A198" s="4" cm="1">
        <f t="array" ref="A198">$B$3*187/200</f>
        <v>0.4675</v>
      </c>
      <c r="B198" s="4" cm="1">
        <f t="array" ref="B198">SQRT(MAX((($B$5^2+$B$3^2)/(2*$B$5))^2-($B$3-A198)^2,0))-((($B$5^2+$B$3^2)/(2*$B$5))-$B$5)</f>
        <v>0.0398320702384098</v>
      </c>
      <c r="C198" s="4" cm="1">
        <f t="array" ref="C198">MIN($B$5,$B$5*(1-COS(PI()*A198/(2*$B$3)))+($B$7*$B$5)*EXP(-0.5*((A198/$B$3-$B$8)/$B$9)^2))</f>
        <v>0.0360290848690447</v>
      </c>
      <c r="D198" s="6"/>
      <c r="E198" s="6"/>
    </row>
    <row r="199" ht="15.75" customHeight="1">
      <c r="A199" s="4" cm="1">
        <f t="array" ref="A199">$B$3*188/200</f>
        <v>0.47</v>
      </c>
      <c r="B199" s="4" cm="1">
        <f t="array" ref="B199">SQRT(MAX((($B$5^2+$B$3^2)/(2*$B$5))^2-($B$3-A199)^2,0))-((($B$5^2+$B$3^2)/(2*$B$5))-$B$5)</f>
        <v>0.0398569124842551</v>
      </c>
      <c r="C199" s="4" cm="1">
        <f t="array" ref="C199">MIN($B$5,$B$5*(1-COS(PI()*A199/(2*$B$3)))+($B$7*$B$5)*EXP(-0.5*((A199/$B$3-$B$8)/$B$9)^2))</f>
        <v>0.0363340440432183</v>
      </c>
      <c r="D199" s="6"/>
      <c r="E199" s="6"/>
    </row>
    <row r="200" ht="15.75" customHeight="1">
      <c r="A200" s="4" cm="1">
        <f t="array" ref="A200">$B$3*189/200</f>
        <v>0.4725</v>
      </c>
      <c r="B200" s="4" cm="1">
        <f t="array" ref="B200">SQRT(MAX((($B$5^2+$B$3^2)/(2*$B$5))^2-($B$3-A200)^2,0))-((($B$5^2+$B$3^2)/(2*$B$5))-$B$5)</f>
        <v>0.0398797671771174</v>
      </c>
      <c r="C200" s="4" cm="1">
        <f t="array" ref="C200">MIN($B$5,$B$5*(1-COS(PI()*A200/(2*$B$3)))+($B$7*$B$5)*EXP(-0.5*((A200/$B$3-$B$8)/$B$9)^2))</f>
        <v>0.0366397220916175</v>
      </c>
      <c r="D200" s="6"/>
      <c r="E200" s="6"/>
    </row>
    <row r="201" ht="15.75" customHeight="1">
      <c r="A201" s="4" cm="1">
        <f t="array" ref="A201">$B$3*190/200</f>
        <v>0.475</v>
      </c>
      <c r="B201" s="4" cm="1">
        <f t="array" ref="B201">SQRT(MAX((($B$5^2+$B$3^2)/(2*$B$5))^2-($B$3-A201)^2,0))-((($B$5^2+$B$3^2)/(2*$B$5))-$B$5)</f>
        <v>0.0399006343603294</v>
      </c>
      <c r="C201" s="4" cm="1">
        <f t="array" ref="C201">MIN($B$5,$B$5*(1-COS(PI()*A201/(2*$B$3)))+($B$7*$B$5)*EXP(-0.5*((A201/$B$3-$B$8)/$B$9)^2))</f>
        <v>0.0369460747967009</v>
      </c>
      <c r="D201" s="6"/>
      <c r="E201" s="6"/>
    </row>
    <row r="202" ht="15.75" customHeight="1">
      <c r="A202" s="4" cm="1">
        <f t="array" ref="A202">$B$3*191/200</f>
        <v>0.4775</v>
      </c>
      <c r="B202" s="4" cm="1">
        <f t="array" ref="B202">SQRT(MAX((($B$5^2+$B$3^2)/(2*$B$5))^2-($B$3-A202)^2,0))-((($B$5^2+$B$3^2)/(2*$B$5))-$B$5)</f>
        <v>0.0399195140734525</v>
      </c>
      <c r="C202" s="4" cm="1">
        <f t="array" ref="C202">MIN($B$5,$B$5*(1-COS(PI()*A202/(2*$B$3)))+($B$7*$B$5)*EXP(-0.5*((A202/$B$3-$B$8)/$B$9)^2))</f>
        <v>0.0372530587313936</v>
      </c>
      <c r="D202" s="6"/>
      <c r="E202" s="6"/>
    </row>
    <row r="203" ht="15.75" customHeight="1">
      <c r="A203" s="4" cm="1">
        <f t="array" ref="A203">$B$3*192/200</f>
        <v>0.48</v>
      </c>
      <c r="B203" s="4" cm="1">
        <f t="array" ref="B203">SQRT(MAX((($B$5^2+$B$3^2)/(2*$B$5))^2-($B$3-A203)^2,0))-((($B$5^2+$B$3^2)/(2*$B$5))-$B$5)</f>
        <v>0.0399364063522811</v>
      </c>
      <c r="C203" s="4" cm="1">
        <f t="array" ref="C203">MIN($B$5,$B$5*(1-COS(PI()*A203/(2*$B$3)))+($B$7*$B$5)*EXP(-0.5*((A203/$B$3-$B$8)/$B$9)^2))</f>
        <v>0.0375606312725066</v>
      </c>
      <c r="D203" s="6"/>
      <c r="E203" s="6"/>
    </row>
    <row r="204" ht="15.75" customHeight="1">
      <c r="A204" s="4" cm="1">
        <f t="array" ref="A204">$B$3*193/200</f>
        <v>0.4825</v>
      </c>
      <c r="B204" s="4" cm="1">
        <f t="array" ref="B204">SQRT(MAX((($B$5^2+$B$3^2)/(2*$B$5))^2-($B$3-A204)^2,0))-((($B$5^2+$B$3^2)/(2*$B$5))-$B$5)</f>
        <v>0.0399513112288403</v>
      </c>
      <c r="C204" s="4" cm="1">
        <f t="array" ref="C204">MIN($B$5,$B$5*(1-COS(PI()*A204/(2*$B$3)))+($B$7*$B$5)*EXP(-0.5*((A204/$B$3-$B$8)/$B$9)^2))</f>
        <v>0.0378687506102216</v>
      </c>
      <c r="D204" s="6"/>
      <c r="E204" s="6"/>
    </row>
    <row r="205" ht="15.75" customHeight="1">
      <c r="A205" s="4" cm="1">
        <f t="array" ref="A205">$B$3*194/200</f>
        <v>0.485</v>
      </c>
      <c r="B205" s="4" cm="1">
        <f t="array" ref="B205">SQRT(MAX((($B$5^2+$B$3^2)/(2*$B$5))^2-($B$3-A205)^2,0))-((($B$5^2+$B$3^2)/(2*$B$5))-$B$5)</f>
        <v>0.0399642287313857</v>
      </c>
      <c r="C205" s="4" cm="1">
        <f t="array" ref="C205">MIN($B$5,$B$5*(1-COS(PI()*A205/(2*$B$3)))+($B$7*$B$5)*EXP(-0.5*((A205/$B$3-$B$8)/$B$9)^2))</f>
        <v>0.038177375753899</v>
      </c>
      <c r="D205" s="6"/>
      <c r="E205" s="6"/>
    </row>
    <row r="206" ht="15.75" customHeight="1">
      <c r="A206" s="4" cm="1">
        <f t="array" ref="A206">$B$3*195/200</f>
        <v>0.4875</v>
      </c>
      <c r="B206" s="4" cm="1">
        <f t="array" ref="B206">SQRT(MAX((($B$5^2+$B$3^2)/(2*$B$5))^2-($B$3-A206)^2,0))-((($B$5^2+$B$3^2)/(2*$B$5))-$B$5)</f>
        <v>0.039975158884407</v>
      </c>
      <c r="C206" s="4" cm="1">
        <f t="array" ref="C206">MIN($B$5,$B$5*(1-COS(PI()*A206/(2*$B$3)))+($B$7*$B$5)*EXP(-0.5*((A206/$B$3-$B$8)/$B$9)^2))</f>
        <v>0.0384864665344642</v>
      </c>
      <c r="D206" s="6"/>
      <c r="E206" s="6"/>
    </row>
    <row r="207" ht="15.75" customHeight="1">
      <c r="A207" s="4" cm="1">
        <f t="array" ref="A207">$B$3*196/200</f>
        <v>0.49</v>
      </c>
      <c r="B207" s="4" cm="1">
        <f t="array" ref="B207">SQRT(MAX((($B$5^2+$B$3^2)/(2*$B$5))^2-($B$3-A207)^2,0))-((($B$5^2+$B$3^2)/(2*$B$5))-$B$5)</f>
        <v>0.0399841017086242</v>
      </c>
      <c r="C207" s="4" cm="1">
        <f t="array" ref="C207">MIN($B$5,$B$5*(1-COS(PI()*A207/(2*$B$3)))+($B$7*$B$5)*EXP(-0.5*((A207/$B$3-$B$8)/$B$9)^2))</f>
        <v>0.0387959836036275</v>
      </c>
      <c r="D207" s="6"/>
      <c r="E207" s="6"/>
    </row>
    <row r="208" ht="15.75" customHeight="1">
      <c r="A208" s="4" cm="1">
        <f t="array" ref="A208">$B$3*197/200</f>
        <v>0.4925</v>
      </c>
      <c r="B208" s="4" cm="1">
        <f t="array" ref="B208">SQRT(MAX((($B$5^2+$B$3^2)/(2*$B$5))^2-($B$3-A208)^2,0))-((($B$5^2+$B$3^2)/(2*$B$5))-$B$5)</f>
        <v>0.0399910572209903</v>
      </c>
      <c r="C208" s="4" cm="1">
        <f t="array" ref="C208">MIN($B$5,$B$5*(1-COS(PI()*A208/(2*$B$3)))+($B$7*$B$5)*EXP(-0.5*((A208/$B$3-$B$8)/$B$9)^2))</f>
        <v>0.0391058884301898</v>
      </c>
      <c r="D208" s="6"/>
      <c r="E208" s="6"/>
    </row>
    <row r="209" ht="15.75" customHeight="1">
      <c r="A209" s="4" cm="1">
        <f t="array" ref="A209">$B$3*198/200</f>
        <v>0.495</v>
      </c>
      <c r="B209" s="4" cm="1">
        <f t="array" ref="B209">SQRT(MAX((($B$5^2+$B$3^2)/(2*$B$5))^2-($B$3-A209)^2,0))-((($B$5^2+$B$3^2)/(2*$B$5))-$B$5)</f>
        <v>0.0399960254346903</v>
      </c>
      <c r="C209" s="4" cm="1">
        <f t="array" ref="C209">MIN($B$5,$B$5*(1-COS(PI()*A209/(2*$B$3)))+($B$7*$B$5)*EXP(-0.5*((A209/$B$3-$B$8)/$B$9)^2))</f>
        <v>0.0394161432936801</v>
      </c>
      <c r="D209" s="6"/>
      <c r="E209" s="6"/>
    </row>
    <row r="210" ht="15.75" customHeight="1">
      <c r="A210" s="4" cm="1">
        <f t="array" ref="A210">$B$3*199/200</f>
        <v>0.4975</v>
      </c>
      <c r="B210" s="4" cm="1">
        <f t="array" ref="B210">SQRT(MAX((($B$5^2+$B$3^2)/(2*$B$5))^2-($B$3-A210)^2,0))-((($B$5^2+$B$3^2)/(2*$B$5))-$B$5)</f>
        <v>0.0399990063591438</v>
      </c>
      <c r="C210" s="4" cm="1">
        <f t="array" ref="C210">MIN($B$5,$B$5*(1-COS(PI()*A210/(2*$B$3)))+($B$7*$B$5)*EXP(-0.5*((A210/$B$3-$B$8)/$B$9)^2))</f>
        <v>0.0397267112755688</v>
      </c>
      <c r="D210" s="6"/>
      <c r="E210" s="6"/>
    </row>
    <row r="211" ht="15.75" customHeight="1">
      <c r="A211" s="4" cm="1">
        <f t="array" ref="A211">$B$3*200/200</f>
        <v>0.5</v>
      </c>
      <c r="B211" s="4" cm="1">
        <f t="array" ref="B211">SQRT(MAX((($B$5^2+$B$3^2)/(2*$B$5))^2-($B$3-A211)^2,0))-((($B$5^2+$B$3^2)/(2*$B$5))-$B$5)</f>
        <v>0.04</v>
      </c>
      <c r="C211" s="4" cm="1">
        <f t="array" ref="C211">MIN($B$5,$B$5*(1-COS(PI()*A211/(2*$B$3)))+($B$7*$B$5)*EXP(-0.5*((A211/$B$3-$B$8)/$B$9)^2))</f>
        <v>0.04</v>
      </c>
      <c r="D211" s="6"/>
      <c r="E211" s="6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1" width="110" style="7" customWidth="1"/>
    <col min="2" max="5" width="8.67188" style="7" customWidth="1"/>
    <col min="6" max="16384" width="14.5" style="7" customWidth="1"/>
  </cols>
  <sheetData>
    <row r="1" ht="13.55" customHeight="1">
      <c r="A1" t="s" s="3">
        <v>23</v>
      </c>
      <c r="B1" s="6"/>
      <c r="C1" s="6"/>
      <c r="D1" s="6"/>
      <c r="E1" s="6"/>
    </row>
    <row r="2" ht="13.55" customHeight="1">
      <c r="A2" t="s" s="3">
        <v>24</v>
      </c>
      <c r="B2" s="6"/>
      <c r="C2" s="6"/>
      <c r="D2" s="6"/>
      <c r="E2" s="6"/>
    </row>
    <row r="3" ht="13.55" customHeight="1">
      <c r="A3" t="s" s="3">
        <v>25</v>
      </c>
      <c r="B3" s="6"/>
      <c r="C3" s="6"/>
      <c r="D3" s="6"/>
      <c r="E3" s="6"/>
    </row>
    <row r="4" ht="13.55" customHeight="1">
      <c r="A4" t="s" s="3">
        <v>26</v>
      </c>
      <c r="B4" s="6"/>
      <c r="C4" s="6"/>
      <c r="D4" s="6"/>
      <c r="E4" s="6"/>
    </row>
    <row r="5" ht="13.55" customHeight="1">
      <c r="A5" t="s" s="3">
        <v>27</v>
      </c>
      <c r="B5" s="6"/>
      <c r="C5" s="6"/>
      <c r="D5" s="6"/>
      <c r="E5" s="6"/>
    </row>
    <row r="6" ht="13.55" customHeight="1">
      <c r="A6" t="s" s="3">
        <v>28</v>
      </c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