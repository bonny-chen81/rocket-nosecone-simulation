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end" sheetId="1" r:id="rId4"/>
    <sheet state="visible" name="extras" sheetId="2" r:id="rId5"/>
    <sheet state="visible" name="readme" sheetId="3" r:id="rId6"/>
  </sheets>
  <definedNames/>
  <calcPr/>
  <extLst>
    <ext uri="GoogleSheetsCustomDataVersion2">
      <go:sheetsCustomData xmlns:go="http://customooxmlschemas.google.com/" r:id="rId7" roundtripDataChecksum="yye0IVI8mmTK1q2cbSLGuy0nYiQAF1ddduif41EmAc0="/>
    </ext>
  </extLst>
</workbook>
</file>

<file path=xl/sharedStrings.xml><?xml version="1.0" encoding="utf-8"?>
<sst xmlns="http://schemas.openxmlformats.org/spreadsheetml/2006/main" count="26" uniqueCount="23">
  <si>
    <t>x_m</t>
  </si>
  <si>
    <t>r_eng_m</t>
  </si>
  <si>
    <t>r_bio_m</t>
  </si>
  <si>
    <t>L_m</t>
  </si>
  <si>
    <t>alpha_max</t>
  </si>
  <si>
    <t>r_blend_m</t>
  </si>
  <si>
    <t>t_smooth</t>
  </si>
  <si>
    <t>alpha_x</t>
  </si>
  <si>
    <t>Parameters</t>
  </si>
  <si>
    <t>Name</t>
  </si>
  <si>
    <t>Value</t>
  </si>
  <si>
    <t>D_m</t>
  </si>
  <si>
    <t>R_m</t>
  </si>
  <si>
    <t>bump_A_frac</t>
  </si>
  <si>
    <t>bump_c_fracL</t>
  </si>
  <si>
    <t>bump_w_fracL</t>
  </si>
  <si>
    <t>r_ogive_m</t>
  </si>
  <si>
    <t>r_fish_m</t>
  </si>
  <si>
    <t>Google Sheets friendly version. Steps:</t>
  </si>
  <si>
    <t>1) In 'extras', set L_m and D_m. R_m = D_m/2 is auto.</t>
  </si>
  <si>
    <t>2) Copy columns 'r_ogive' and 'r_fish' into 'blend'!B and !C (Paste values).</t>
  </si>
  <si>
    <t>3) In 'blend', L_m (D2) and alpha_max (E2) already default to 0.5 and 0.65. Adjust if needed.</t>
  </si>
  <si>
    <t>4) Column F gives r_blend(x). Export columns A &amp; F as CSV to import into Inventor.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</si>
</sst>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0"/>
    <col customWidth="1" min="4" max="5" width="12.0"/>
    <col customWidth="1" min="6" max="6" width="14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>
        <f>$D$2*(0)/200</f>
        <v>0</v>
      </c>
      <c r="B2" s="2">
        <v>0.0</v>
      </c>
      <c r="C2" s="4">
        <v>1.7574773449362968E-4</v>
      </c>
      <c r="D2" s="2">
        <v>0.5</v>
      </c>
      <c r="E2" s="2">
        <v>0.65</v>
      </c>
      <c r="F2" s="3">
        <f>(1-H2)*B2 + H2*C2
</f>
        <v>0</v>
      </c>
      <c r="G2" s="3">
        <f t="shared" ref="G2:G202" si="1">IF($D$2=0, 0, MAX(0, MIN(1, (A2-0.2*$D$2)/(0.6*$D$2))))
</f>
        <v>0</v>
      </c>
      <c r="H2" s="3">
        <f t="shared" ref="H2:H6" si="2">$E$2 * (G2^2 * (3 - 2*G2))
</f>
        <v>0</v>
      </c>
    </row>
    <row r="3">
      <c r="A3" s="3">
        <f>$D$2*(1)/200</f>
        <v>0.0025</v>
      </c>
      <c r="B3" s="3">
        <v>4.0154408411430254E-4</v>
      </c>
      <c r="C3" s="4">
        <v>1.895472233742181E-4</v>
      </c>
      <c r="F3" s="3">
        <f t="shared" ref="F3:F202" si="3">(1-E3)*B3+E3*C3</f>
        <v>0.0004015440841</v>
      </c>
      <c r="G3" s="3">
        <f t="shared" si="1"/>
        <v>0</v>
      </c>
      <c r="H3" s="3">
        <f t="shared" si="2"/>
        <v>0</v>
      </c>
    </row>
    <row r="4">
      <c r="A4" s="3">
        <f>$D$2*(2)/200</f>
        <v>0.005</v>
      </c>
      <c r="B4" s="3">
        <v>8.010238906162037E-4</v>
      </c>
      <c r="C4" s="4">
        <v>2.0655683418459102E-4</v>
      </c>
      <c r="F4" s="3">
        <f t="shared" si="3"/>
        <v>0.0008010238906</v>
      </c>
      <c r="G4" s="3">
        <f t="shared" si="1"/>
        <v>0</v>
      </c>
      <c r="H4" s="3">
        <f t="shared" si="2"/>
        <v>0</v>
      </c>
    </row>
    <row r="5">
      <c r="A5" s="3">
        <f>$D$2*(3)/200</f>
        <v>0.0075</v>
      </c>
      <c r="B5" s="3">
        <v>0.0011984402159499474</v>
      </c>
      <c r="C5" s="4">
        <v>2.2680757940246894E-4</v>
      </c>
      <c r="F5" s="3">
        <f t="shared" si="3"/>
        <v>0.001198440216</v>
      </c>
      <c r="G5" s="3">
        <f t="shared" si="1"/>
        <v>0</v>
      </c>
      <c r="H5" s="3">
        <f t="shared" si="2"/>
        <v>0</v>
      </c>
    </row>
    <row r="6">
      <c r="A6" s="3">
        <f>$D$2*(4)/200</f>
        <v>0.01</v>
      </c>
      <c r="B6" s="3">
        <v>0.0015937938520385053</v>
      </c>
      <c r="C6" s="4">
        <v>2.503306606809272E-4</v>
      </c>
      <c r="F6" s="3">
        <f t="shared" si="3"/>
        <v>0.001593793852</v>
      </c>
      <c r="G6" s="3">
        <f t="shared" si="1"/>
        <v>0</v>
      </c>
      <c r="H6" s="3">
        <f t="shared" si="2"/>
        <v>0</v>
      </c>
    </row>
    <row r="7">
      <c r="A7" s="3">
        <f>$D$2*(5)/200</f>
        <v>0.0125</v>
      </c>
      <c r="B7" s="3">
        <v>0.0019870855862920145</v>
      </c>
      <c r="C7" s="4">
        <v>2.771573919258256E-4</v>
      </c>
      <c r="F7" s="3">
        <f t="shared" si="3"/>
        <v>0.001987085586</v>
      </c>
      <c r="G7" s="3">
        <f t="shared" si="1"/>
        <v>0</v>
      </c>
      <c r="H7" s="3">
        <f>$E$2 * (G6^2 * (3 - 2*G6))
</f>
        <v>0</v>
      </c>
    </row>
    <row r="8">
      <c r="A8" s="3">
        <f>$D$2*(6)/200</f>
        <v>0.015</v>
      </c>
      <c r="B8" s="3">
        <v>0.0023783162016175474</v>
      </c>
      <c r="C8" s="4">
        <v>3.073191159873212E-4</v>
      </c>
      <c r="F8" s="3">
        <f t="shared" si="3"/>
        <v>0.002378316202</v>
      </c>
      <c r="G8" s="3">
        <f t="shared" si="1"/>
        <v>0</v>
      </c>
      <c r="H8" s="3">
        <f t="shared" ref="H8:H202" si="4">$E$2 * (G8^2 * (3 - 2*G8))
</f>
        <v>0</v>
      </c>
    </row>
    <row r="9">
      <c r="A9" s="3">
        <f>$D$2*(7)/200</f>
        <v>0.0175</v>
      </c>
      <c r="B9" s="3">
        <v>0.0027674864764257734</v>
      </c>
      <c r="C9" s="4">
        <v>3.40847114922988E-4</v>
      </c>
      <c r="F9" s="3">
        <f t="shared" si="3"/>
        <v>0.002767486476</v>
      </c>
      <c r="G9" s="3">
        <f t="shared" si="1"/>
        <v>0</v>
      </c>
      <c r="H9" s="3">
        <f t="shared" si="4"/>
        <v>0</v>
      </c>
    </row>
    <row r="10">
      <c r="A10" s="3">
        <f>$D$2*(8)/200</f>
        <v>0.02</v>
      </c>
      <c r="B10" s="3">
        <v>0.003154597184638508</v>
      </c>
      <c r="C10" s="4">
        <v>3.7777251382283586E-4</v>
      </c>
      <c r="F10" s="3">
        <f t="shared" si="3"/>
        <v>0.003154597185</v>
      </c>
      <c r="G10" s="3">
        <f t="shared" si="1"/>
        <v>0</v>
      </c>
      <c r="H10" s="3">
        <f t="shared" si="4"/>
        <v>0</v>
      </c>
    </row>
    <row r="11">
      <c r="A11" s="3">
        <f>$D$2*(9)/200</f>
        <v>0.0225</v>
      </c>
      <c r="B11" s="3">
        <v>0.0035396490956971505</v>
      </c>
      <c r="C11" s="4">
        <v>4.1812617822210873E-4</v>
      </c>
      <c r="F11" s="3">
        <f t="shared" si="3"/>
        <v>0.003539649096</v>
      </c>
      <c r="G11" s="3">
        <f t="shared" si="1"/>
        <v>0</v>
      </c>
      <c r="H11" s="3">
        <f t="shared" si="4"/>
        <v>0</v>
      </c>
    </row>
    <row r="12">
      <c r="A12" s="3">
        <f>$D$2*(10)/200</f>
        <v>0.025</v>
      </c>
      <c r="B12" s="3">
        <v>0.0039226429745724545</v>
      </c>
      <c r="C12" s="4">
        <v>4.619386051650012E-4</v>
      </c>
      <c r="F12" s="3">
        <f t="shared" si="3"/>
        <v>0.003922642975</v>
      </c>
      <c r="G12" s="3">
        <f t="shared" si="1"/>
        <v>0</v>
      </c>
      <c r="H12" s="3">
        <f t="shared" si="4"/>
        <v>0</v>
      </c>
    </row>
    <row r="13">
      <c r="A13" s="3">
        <f>$D$2*(11)/200</f>
        <v>0.0275</v>
      </c>
      <c r="B13" s="3">
        <v>0.004303579581768968</v>
      </c>
      <c r="C13" s="4">
        <v>5.0923980802225E-4</v>
      </c>
      <c r="F13" s="3">
        <f t="shared" si="3"/>
        <v>0.004303579582</v>
      </c>
      <c r="G13" s="3">
        <f t="shared" si="1"/>
        <v>0</v>
      </c>
      <c r="H13" s="3">
        <f t="shared" si="4"/>
        <v>0</v>
      </c>
    </row>
    <row r="14">
      <c r="A14" s="3">
        <f>$D$2*(12)/200</f>
        <v>0.03</v>
      </c>
      <c r="B14" s="3">
        <v>0.0046824596733348045</v>
      </c>
      <c r="C14" s="4">
        <v>5.600591952069545E-4</v>
      </c>
      <c r="F14" s="3">
        <f t="shared" si="3"/>
        <v>0.004682459673</v>
      </c>
      <c r="G14" s="3">
        <f t="shared" si="1"/>
        <v>0</v>
      </c>
      <c r="H14" s="3">
        <f t="shared" si="4"/>
        <v>0</v>
      </c>
    </row>
    <row r="15">
      <c r="A15" s="3">
        <f>$D$2*(13)/200</f>
        <v>0.0325</v>
      </c>
      <c r="B15" s="3">
        <v>0.005059284000869191</v>
      </c>
      <c r="C15" s="4">
        <v>6.14425442976458E-4</v>
      </c>
      <c r="F15" s="3">
        <f t="shared" si="3"/>
        <v>0.005059284001</v>
      </c>
      <c r="G15" s="3">
        <f t="shared" si="1"/>
        <v>0</v>
      </c>
      <c r="H15" s="3">
        <f t="shared" si="4"/>
        <v>0</v>
      </c>
    </row>
    <row r="16">
      <c r="A16" s="3">
        <f>$D$2*(14)/200</f>
        <v>0.035</v>
      </c>
      <c r="B16" s="3">
        <v>0.0054340533115313505</v>
      </c>
      <c r="C16" s="4">
        <v>6.723663625529402E-4</v>
      </c>
      <c r="F16" s="3">
        <f t="shared" si="3"/>
        <v>0.005434053312</v>
      </c>
      <c r="G16" s="3">
        <f t="shared" si="1"/>
        <v>0</v>
      </c>
      <c r="H16" s="3">
        <f t="shared" si="4"/>
        <v>0</v>
      </c>
    </row>
    <row r="17">
      <c r="A17" s="3">
        <f>$D$2*(15)/200</f>
        <v>0.0375</v>
      </c>
      <c r="B17" s="3">
        <v>0.005806768348044056</v>
      </c>
      <c r="C17" s="4">
        <v>7.339087618416959E-4</v>
      </c>
      <c r="F17" s="3">
        <f t="shared" si="3"/>
        <v>0.005806768348</v>
      </c>
      <c r="G17" s="3">
        <f t="shared" si="1"/>
        <v>0</v>
      </c>
      <c r="H17" s="3">
        <f t="shared" si="4"/>
        <v>0</v>
      </c>
    </row>
    <row r="18">
      <c r="A18" s="3">
        <f>$D$2*(16)/200</f>
        <v>0.04</v>
      </c>
      <c r="B18" s="3">
        <v>0.006177429848706062</v>
      </c>
      <c r="C18" s="4">
        <v>7.990783020734609E-4</v>
      </c>
      <c r="F18" s="3">
        <f t="shared" si="3"/>
        <v>0.006177429849</v>
      </c>
      <c r="G18" s="3">
        <f t="shared" si="1"/>
        <v>0</v>
      </c>
      <c r="H18" s="3">
        <f t="shared" si="4"/>
        <v>0</v>
      </c>
    </row>
    <row r="19">
      <c r="A19" s="3">
        <f>$D$2*(17)/200</f>
        <v>0.0425</v>
      </c>
      <c r="B19" s="3">
        <v>0.006546038547397437</v>
      </c>
      <c r="C19" s="4">
        <v>8.678993497454058E-4</v>
      </c>
      <c r="F19" s="3">
        <f t="shared" si="3"/>
        <v>0.006546038547</v>
      </c>
      <c r="G19" s="3">
        <f t="shared" si="1"/>
        <v>0</v>
      </c>
      <c r="H19" s="3">
        <f t="shared" si="4"/>
        <v>0</v>
      </c>
    </row>
    <row r="20">
      <c r="A20" s="3">
        <f>$D$2*(18)/200</f>
        <v>0.045</v>
      </c>
      <c r="B20" s="3">
        <v>0.006912595173585778</v>
      </c>
      <c r="C20" s="4">
        <v>9.403948242841494E-4</v>
      </c>
      <c r="F20" s="3">
        <f t="shared" si="3"/>
        <v>0.006912595174</v>
      </c>
      <c r="G20" s="3">
        <f t="shared" si="1"/>
        <v>0</v>
      </c>
      <c r="H20" s="3">
        <f t="shared" si="4"/>
        <v>0</v>
      </c>
    </row>
    <row r="21" ht="15.75" customHeight="1">
      <c r="A21" s="3">
        <f>$D$2*(19)/200</f>
        <v>0.0475</v>
      </c>
      <c r="B21" s="3">
        <v>0.007277100452335983</v>
      </c>
      <c r="C21" s="4">
        <v>0.001016586041903245</v>
      </c>
      <c r="F21" s="3">
        <f t="shared" si="3"/>
        <v>0.007277100452</v>
      </c>
      <c r="G21" s="3">
        <f t="shared" si="1"/>
        <v>0</v>
      </c>
      <c r="H21" s="3">
        <f t="shared" si="4"/>
        <v>0</v>
      </c>
    </row>
    <row r="22" ht="15.75" customHeight="1">
      <c r="A22" s="3">
        <f>$D$2*(20)/200</f>
        <v>0.05</v>
      </c>
      <c r="B22" s="3">
        <v>0.0076395551043169085</v>
      </c>
      <c r="C22" s="4">
        <v>0.0010964925561765255</v>
      </c>
      <c r="F22" s="3">
        <f t="shared" si="3"/>
        <v>0.007639555104</v>
      </c>
      <c r="G22" s="3">
        <f t="shared" si="1"/>
        <v>0</v>
      </c>
      <c r="H22" s="3">
        <f t="shared" si="4"/>
        <v>0</v>
      </c>
    </row>
    <row r="23" ht="15.75" customHeight="1">
      <c r="A23" s="3">
        <f>$D$2*(21)/200</f>
        <v>0.0525</v>
      </c>
      <c r="B23" s="3">
        <v>0.007999959845807592</v>
      </c>
      <c r="C23" s="4">
        <v>0.0011801319958970437</v>
      </c>
      <c r="F23" s="3">
        <f t="shared" si="3"/>
        <v>0.007999959846</v>
      </c>
      <c r="G23" s="3">
        <f t="shared" si="1"/>
        <v>0</v>
      </c>
      <c r="H23" s="3">
        <f t="shared" si="4"/>
        <v>0</v>
      </c>
    </row>
    <row r="24" ht="15.75" customHeight="1">
      <c r="A24" s="3">
        <f>$D$2*(22)/200</f>
        <v>0.055</v>
      </c>
      <c r="B24" s="3">
        <v>0.008358315388706128</v>
      </c>
      <c r="C24" s="4">
        <v>0.0012675199008391797</v>
      </c>
      <c r="F24" s="3">
        <f t="shared" si="3"/>
        <v>0.008358315389</v>
      </c>
      <c r="G24" s="3">
        <f t="shared" si="1"/>
        <v>0</v>
      </c>
      <c r="H24" s="3">
        <f t="shared" si="4"/>
        <v>0</v>
      </c>
    </row>
    <row r="25" ht="15.75" customHeight="1">
      <c r="A25" s="3">
        <f>$D$2*(23)/200</f>
        <v>0.0575</v>
      </c>
      <c r="B25" s="3">
        <v>0.008714622440534558</v>
      </c>
      <c r="C25" s="4">
        <v>0.0013586695560878067</v>
      </c>
      <c r="F25" s="3">
        <f t="shared" si="3"/>
        <v>0.008714622441</v>
      </c>
      <c r="G25" s="3">
        <f t="shared" si="1"/>
        <v>0</v>
      </c>
      <c r="H25" s="3">
        <f t="shared" si="4"/>
        <v>0</v>
      </c>
    </row>
    <row r="26" ht="15.75" customHeight="1">
      <c r="A26" s="3">
        <f>$D$2*(24)/200</f>
        <v>0.06</v>
      </c>
      <c r="B26" s="3">
        <v>0.009068881704449527</v>
      </c>
      <c r="C26" s="4">
        <v>0.0014535918256432545</v>
      </c>
      <c r="F26" s="3">
        <f t="shared" si="3"/>
        <v>0.009068881704</v>
      </c>
      <c r="G26" s="3">
        <f t="shared" si="1"/>
        <v>0</v>
      </c>
      <c r="H26" s="3">
        <f t="shared" si="4"/>
        <v>0</v>
      </c>
    </row>
    <row r="27" ht="15.75" customHeight="1">
      <c r="A27" s="3">
        <f>$D$2*(25)/200</f>
        <v>0.0625</v>
      </c>
      <c r="B27" s="3">
        <v>0.009421093879246278</v>
      </c>
      <c r="C27" s="4">
        <v>0.0015522949860535848</v>
      </c>
      <c r="F27" s="3">
        <f t="shared" si="3"/>
        <v>0.009421093879</v>
      </c>
      <c r="G27" s="3">
        <f t="shared" si="1"/>
        <v>0</v>
      </c>
      <c r="H27" s="3">
        <f t="shared" si="4"/>
        <v>0</v>
      </c>
    </row>
    <row r="28" ht="15.75" customHeight="1">
      <c r="A28" s="3">
        <f>$D$2*(26)/200</f>
        <v>0.065</v>
      </c>
      <c r="B28" s="3">
        <v>0.009771259659367093</v>
      </c>
      <c r="C28" s="4">
        <v>0.001654784560866165</v>
      </c>
      <c r="F28" s="3">
        <f t="shared" si="3"/>
        <v>0.009771259659</v>
      </c>
      <c r="G28" s="3">
        <f t="shared" si="1"/>
        <v>0</v>
      </c>
      <c r="H28" s="3">
        <f t="shared" si="4"/>
        <v>0</v>
      </c>
    </row>
    <row r="29" ht="15.75" customHeight="1">
      <c r="A29" s="3">
        <f>$D$2*(27)/200</f>
        <v>0.0675</v>
      </c>
      <c r="B29" s="3">
        <v>0.010119379734908396</v>
      </c>
      <c r="C29" s="4">
        <v>0.0017610631567279208</v>
      </c>
      <c r="F29" s="3">
        <f t="shared" si="3"/>
        <v>0.01011937973</v>
      </c>
      <c r="G29" s="3">
        <f t="shared" si="1"/>
        <v>0</v>
      </c>
      <c r="H29" s="3">
        <f t="shared" si="4"/>
        <v>0</v>
      </c>
    </row>
    <row r="30" ht="15.75" customHeight="1">
      <c r="A30" s="3">
        <f>$D$2*(28)/200</f>
        <v>0.07</v>
      </c>
      <c r="B30" s="3">
        <v>0.010465454791626971</v>
      </c>
      <c r="C30" s="4">
        <v>0.00187113030199794</v>
      </c>
      <c r="F30" s="3">
        <f t="shared" si="3"/>
        <v>0.01046545479</v>
      </c>
      <c r="G30" s="3">
        <f t="shared" si="1"/>
        <v>0</v>
      </c>
      <c r="H30" s="3">
        <f t="shared" si="4"/>
        <v>0</v>
      </c>
    </row>
    <row r="31" ht="15.75" customHeight="1">
      <c r="A31" s="3">
        <f>$D$2*(29)/200</f>
        <v>0.0725</v>
      </c>
      <c r="B31" s="3">
        <v>0.010809485510948402</v>
      </c>
      <c r="C31" s="4">
        <v>0.0019849822887666293</v>
      </c>
      <c r="F31" s="3">
        <f t="shared" si="3"/>
        <v>0.01080948551</v>
      </c>
      <c r="G31" s="3">
        <f t="shared" si="1"/>
        <v>0</v>
      </c>
      <c r="H31" s="3">
        <f t="shared" si="4"/>
        <v>0</v>
      </c>
    </row>
    <row r="32" ht="15.75" customHeight="1">
      <c r="A32" s="3">
        <f>$D$2*(30)/200</f>
        <v>0.075</v>
      </c>
      <c r="B32" s="3">
        <v>0.01115147256997151</v>
      </c>
      <c r="C32" s="4">
        <v>0.002102612019202122</v>
      </c>
      <c r="F32" s="3">
        <f t="shared" si="3"/>
        <v>0.01115147257</v>
      </c>
      <c r="G32" s="3">
        <f t="shared" si="1"/>
        <v>0</v>
      </c>
      <c r="H32" s="3">
        <f t="shared" si="4"/>
        <v>0</v>
      </c>
    </row>
    <row r="33" ht="15.75" customHeight="1">
      <c r="A33" s="3">
        <f>$D$2*(31)/200</f>
        <v>0.0775</v>
      </c>
      <c r="B33" s="3">
        <v>0.011491416641477237</v>
      </c>
      <c r="C33" s="4">
        <v>0.00222400885716654</v>
      </c>
      <c r="F33" s="3">
        <f t="shared" si="3"/>
        <v>0.01149141664</v>
      </c>
      <c r="G33" s="3">
        <f t="shared" si="1"/>
        <v>0</v>
      </c>
      <c r="H33" s="3">
        <f t="shared" si="4"/>
        <v>0</v>
      </c>
    </row>
    <row r="34" ht="15.75" customHeight="1">
      <c r="A34" s="3">
        <f>$D$2*(32)/200</f>
        <v>0.08</v>
      </c>
      <c r="B34" s="3">
        <v>0.011829318393934862</v>
      </c>
      <c r="C34" s="4">
        <v>0.00234915848606187</v>
      </c>
      <c r="F34" s="3">
        <f t="shared" si="3"/>
        <v>0.01182931839</v>
      </c>
      <c r="G34" s="3">
        <f t="shared" si="1"/>
        <v>0</v>
      </c>
      <c r="H34" s="3">
        <f t="shared" si="4"/>
        <v>0</v>
      </c>
    </row>
    <row r="35" ht="15.75" customHeight="1">
      <c r="A35" s="3">
        <f>$D$2*(33)/200</f>
        <v>0.0825</v>
      </c>
      <c r="B35" s="3">
        <v>0.012165178491508666</v>
      </c>
      <c r="C35" s="4">
        <v>0.0024780427738769852</v>
      </c>
      <c r="F35" s="3">
        <f t="shared" si="3"/>
        <v>0.01216517849</v>
      </c>
      <c r="G35" s="3">
        <f t="shared" si="1"/>
        <v>0</v>
      </c>
      <c r="H35" s="3">
        <f t="shared" si="4"/>
        <v>0</v>
      </c>
    </row>
    <row r="36" ht="15.75" customHeight="1">
      <c r="A36" s="3">
        <f>$D$2*(34)/200</f>
        <v>0.085</v>
      </c>
      <c r="B36" s="3">
        <v>0.012498997594065475</v>
      </c>
      <c r="C36" s="4">
        <v>0.0026106396464137625</v>
      </c>
      <c r="F36" s="3">
        <f t="shared" si="3"/>
        <v>0.01249899759</v>
      </c>
      <c r="G36" s="3">
        <f t="shared" si="1"/>
        <v>0</v>
      </c>
      <c r="H36" s="3">
        <f t="shared" si="4"/>
        <v>0</v>
      </c>
    </row>
    <row r="37" ht="15.75" customHeight="1">
      <c r="A37" s="3">
        <f>$D$2*(35)/200</f>
        <v>0.0875</v>
      </c>
      <c r="B37" s="3">
        <v>0.012830776357177776</v>
      </c>
      <c r="C37" s="4">
        <v>0.0027469229696705667</v>
      </c>
      <c r="F37" s="3">
        <f t="shared" si="3"/>
        <v>0.01283077636</v>
      </c>
      <c r="G37" s="3">
        <f t="shared" si="1"/>
        <v>0</v>
      </c>
      <c r="H37" s="3">
        <f t="shared" si="4"/>
        <v>0</v>
      </c>
    </row>
    <row r="38" ht="15.75" customHeight="1">
      <c r="A38" s="3">
        <f>$D$2*(36)/200</f>
        <v>0.09</v>
      </c>
      <c r="B38" s="3">
        <v>0.013160515432135256</v>
      </c>
      <c r="C38" s="4">
        <v>0.002886862442355676</v>
      </c>
      <c r="F38" s="3">
        <f t="shared" si="3"/>
        <v>0.01316051543</v>
      </c>
      <c r="G38" s="3">
        <f t="shared" si="1"/>
        <v>0</v>
      </c>
      <c r="H38" s="3">
        <f t="shared" si="4"/>
        <v>0</v>
      </c>
    </row>
    <row r="39" ht="15.75" customHeight="1">
      <c r="A39" s="3">
        <f>$D$2*(37)/200</f>
        <v>0.0925</v>
      </c>
      <c r="B39" s="3">
        <v>0.01348821546594925</v>
      </c>
      <c r="C39" s="4">
        <v>0.0030304234994911385</v>
      </c>
      <c r="F39" s="3">
        <f t="shared" si="3"/>
        <v>0.01348821547</v>
      </c>
      <c r="G39" s="3">
        <f t="shared" si="1"/>
        <v>0</v>
      </c>
      <c r="H39" s="3">
        <f t="shared" si="4"/>
        <v>0</v>
      </c>
    </row>
    <row r="40" ht="15.75" customHeight="1">
      <c r="A40" s="3">
        <f>$D$2*(38)/200</f>
        <v>0.095</v>
      </c>
      <c r="B40" s="3">
        <v>0.013813877101357175</v>
      </c>
      <c r="C40" s="4">
        <v>0.003177567228048783</v>
      </c>
      <c r="F40" s="3">
        <f t="shared" si="3"/>
        <v>0.0138138771</v>
      </c>
      <c r="G40" s="3">
        <f t="shared" si="1"/>
        <v>0</v>
      </c>
      <c r="H40" s="3">
        <f t="shared" si="4"/>
        <v>0</v>
      </c>
    </row>
    <row r="41" ht="15.75" customHeight="1">
      <c r="A41" s="3">
        <f>$D$2*(39)/200</f>
        <v>0.0975</v>
      </c>
      <c r="B41" s="3">
        <v>0.01413750097683275</v>
      </c>
      <c r="C41" s="4">
        <v>0.003328250295534647</v>
      </c>
      <c r="F41" s="3">
        <f t="shared" si="3"/>
        <v>0.01413750098</v>
      </c>
      <c r="G41" s="3">
        <f t="shared" si="1"/>
        <v>0</v>
      </c>
      <c r="H41" s="3">
        <f t="shared" si="4"/>
        <v>0</v>
      </c>
    </row>
    <row r="42" ht="15.75" customHeight="1">
      <c r="A42" s="3">
        <f>$D$2*(40)/200</f>
        <v>0.1</v>
      </c>
      <c r="B42" s="3">
        <v>0.01445908772658866</v>
      </c>
      <c r="C42" s="4">
        <v>0.0034824248924058285</v>
      </c>
      <c r="F42" s="3">
        <f t="shared" si="3"/>
        <v>0.01445908773</v>
      </c>
      <c r="G42" s="3">
        <f t="shared" si="1"/>
        <v>0</v>
      </c>
      <c r="H42" s="3">
        <f t="shared" si="4"/>
        <v>0</v>
      </c>
    </row>
    <row r="43" ht="15.75" customHeight="1">
      <c r="A43" s="3">
        <f>$D$2*(41)/200</f>
        <v>0.1025</v>
      </c>
      <c r="B43" s="3">
        <v>0.014778637980586318</v>
      </c>
      <c r="C43" s="4">
        <v>0.003640038689164403</v>
      </c>
      <c r="F43" s="3">
        <f t="shared" si="3"/>
        <v>0.01477863798</v>
      </c>
      <c r="G43" s="3">
        <f t="shared" si="1"/>
        <v>0.008333333333</v>
      </c>
      <c r="H43" s="3">
        <f t="shared" si="4"/>
        <v>0.0001346643519</v>
      </c>
    </row>
    <row r="44" ht="15.75" customHeight="1">
      <c r="A44" s="3">
        <f>$D$2*(42)/200</f>
        <v>0.105</v>
      </c>
      <c r="B44" s="3">
        <v>0.015096152364538984</v>
      </c>
      <c r="C44" s="4">
        <v>0.0038010348089269376</v>
      </c>
      <c r="F44" s="3">
        <f t="shared" si="3"/>
        <v>0.01509615236</v>
      </c>
      <c r="G44" s="3">
        <f t="shared" si="1"/>
        <v>0.01666666667</v>
      </c>
      <c r="H44" s="3">
        <f t="shared" si="4"/>
        <v>0.0005356481481</v>
      </c>
    </row>
    <row r="45" ht="15.75" customHeight="1">
      <c r="A45" s="3">
        <f>$D$2*(43)/200</f>
        <v>0.1075</v>
      </c>
      <c r="B45" s="3">
        <v>0.01541163149992153</v>
      </c>
      <c r="C45" s="4">
        <v>0.0039653518162150085</v>
      </c>
      <c r="F45" s="3">
        <f t="shared" si="3"/>
        <v>0.0154116315</v>
      </c>
      <c r="G45" s="3">
        <f t="shared" si="1"/>
        <v>0.025</v>
      </c>
      <c r="H45" s="3">
        <f t="shared" si="4"/>
        <v>0.0011984375</v>
      </c>
    </row>
    <row r="46" ht="15.75" customHeight="1">
      <c r="A46" s="3">
        <f>$D$2*(44)/200</f>
        <v>0.11</v>
      </c>
      <c r="B46" s="3">
        <v>0.01572507600397266</v>
      </c>
      <c r="C46" s="4">
        <v>0.004132923722652276</v>
      </c>
      <c r="F46" s="3">
        <f t="shared" si="3"/>
        <v>0.015725076</v>
      </c>
      <c r="G46" s="3">
        <f t="shared" si="1"/>
        <v>0.03333333333</v>
      </c>
      <c r="H46" s="3">
        <f t="shared" si="4"/>
        <v>0.002118518519</v>
      </c>
    </row>
    <row r="47" ht="15.75" customHeight="1">
      <c r="A47" s="3">
        <f>$D$2*(45)/200</f>
        <v>0.1125</v>
      </c>
      <c r="B47" s="3">
        <v>0.016036486489704682</v>
      </c>
      <c r="C47" s="4">
        <v>0.004303680010187091</v>
      </c>
      <c r="F47" s="3">
        <f t="shared" si="3"/>
        <v>0.01603648649</v>
      </c>
      <c r="G47" s="3">
        <f t="shared" si="1"/>
        <v>0.04166666667</v>
      </c>
      <c r="H47" s="3">
        <f t="shared" si="4"/>
        <v>0.003291377315</v>
      </c>
    </row>
    <row r="48" ht="15.75" customHeight="1">
      <c r="A48" s="3">
        <f>$D$2*(46)/200</f>
        <v>0.115</v>
      </c>
      <c r="B48" s="3">
        <v>0.016345863565907504</v>
      </c>
      <c r="C48" s="4">
        <v>0.00447754567238676</v>
      </c>
      <c r="F48" s="3">
        <f t="shared" si="3"/>
        <v>0.01634586357</v>
      </c>
      <c r="G48" s="3">
        <f t="shared" si="1"/>
        <v>0.05</v>
      </c>
      <c r="H48" s="3">
        <f t="shared" si="4"/>
        <v>0.0047125</v>
      </c>
    </row>
    <row r="49" ht="15.75" customHeight="1">
      <c r="A49" s="3">
        <f>$D$2*(47)/200</f>
        <v>0.1175</v>
      </c>
      <c r="B49" s="3">
        <v>0.016653207837155293</v>
      </c>
      <c r="C49" s="4">
        <v>0.004654441274270388</v>
      </c>
      <c r="F49" s="3">
        <f t="shared" si="3"/>
        <v>0.01665320784</v>
      </c>
      <c r="G49" s="3">
        <f t="shared" si="1"/>
        <v>0.05833333333</v>
      </c>
      <c r="H49" s="3">
        <f t="shared" si="4"/>
        <v>0.006377372685</v>
      </c>
    </row>
    <row r="50" ht="15.75" customHeight="1">
      <c r="A50" s="3">
        <f>$D$2*(48)/200</f>
        <v>0.12</v>
      </c>
      <c r="B50" s="3">
        <v>0.016958519903812252</v>
      </c>
      <c r="C50" s="4">
        <v>0.004834283031062344</v>
      </c>
      <c r="F50" s="3">
        <f t="shared" si="3"/>
        <v>0.0169585199</v>
      </c>
      <c r="G50" s="3">
        <f t="shared" si="1"/>
        <v>0.06666666667</v>
      </c>
      <c r="H50" s="3">
        <f t="shared" si="4"/>
        <v>0.008281481481</v>
      </c>
    </row>
    <row r="51" ht="15.75" customHeight="1">
      <c r="A51" s="3">
        <f>$D$2*(49)/200</f>
        <v>0.1225</v>
      </c>
      <c r="B51" s="3">
        <v>0.017261800362038837</v>
      </c>
      <c r="C51" s="4">
        <v>0.005016982906158155</v>
      </c>
      <c r="F51" s="3">
        <f t="shared" si="3"/>
        <v>0.01726180036</v>
      </c>
      <c r="G51" s="3">
        <f t="shared" si="1"/>
        <v>0.075</v>
      </c>
      <c r="H51" s="3">
        <f t="shared" si="4"/>
        <v>0.0104203125</v>
      </c>
    </row>
    <row r="52" ht="15.75" customHeight="1">
      <c r="A52" s="3">
        <f>$D$2*(50)/200</f>
        <v>0.125</v>
      </c>
      <c r="B52" s="3">
        <v>0.017563049803798858</v>
      </c>
      <c r="C52" s="4">
        <v>0.005202448728499037</v>
      </c>
      <c r="F52" s="3">
        <f t="shared" si="3"/>
        <v>0.0175630498</v>
      </c>
      <c r="G52" s="3">
        <f t="shared" si="1"/>
        <v>0.08333333333</v>
      </c>
      <c r="H52" s="3">
        <f t="shared" si="4"/>
        <v>0.01278935185</v>
      </c>
    </row>
    <row r="53" ht="15.75" customHeight="1">
      <c r="A53" s="3">
        <f>$D$2*(51)/200</f>
        <v>0.1275</v>
      </c>
      <c r="B53" s="3">
        <v>0.017862268816862148</v>
      </c>
      <c r="C53" s="4">
        <v>0.005390584329451783</v>
      </c>
      <c r="F53" s="3">
        <f t="shared" si="3"/>
        <v>0.01786226882</v>
      </c>
      <c r="G53" s="3">
        <f t="shared" si="1"/>
        <v>0.09166666667</v>
      </c>
      <c r="H53" s="3">
        <f t="shared" si="4"/>
        <v>0.01538408565</v>
      </c>
    </row>
    <row r="54" ht="15.75" customHeight="1">
      <c r="A54" s="3">
        <f>$D$2*(52)/200</f>
        <v>0.13</v>
      </c>
      <c r="B54" s="3">
        <v>0.01815945798481433</v>
      </c>
      <c r="C54" s="4">
        <v>0.005581289699186727</v>
      </c>
      <c r="F54" s="3">
        <f t="shared" si="3"/>
        <v>0.01815945798</v>
      </c>
      <c r="G54" s="3">
        <f t="shared" si="1"/>
        <v>0.1</v>
      </c>
      <c r="H54" s="3">
        <f t="shared" si="4"/>
        <v>0.0182</v>
      </c>
    </row>
    <row r="55" ht="15.75" customHeight="1">
      <c r="A55" s="3">
        <f>$D$2*(53)/200</f>
        <v>0.1325</v>
      </c>
      <c r="B55" s="3">
        <v>0.018454617887060376</v>
      </c>
      <c r="C55" s="4">
        <v>0.005774461162439513</v>
      </c>
      <c r="F55" s="3">
        <f t="shared" si="3"/>
        <v>0.01845461789</v>
      </c>
      <c r="G55" s="3">
        <f t="shared" si="1"/>
        <v>0.1083333333</v>
      </c>
      <c r="H55" s="3">
        <f t="shared" si="4"/>
        <v>0.02123258102</v>
      </c>
    </row>
    <row r="56" ht="15.75" customHeight="1">
      <c r="A56" s="3">
        <f>$D$2*(54)/200</f>
        <v>0.135</v>
      </c>
      <c r="B56" s="3">
        <v>0.018747749098829036</v>
      </c>
      <c r="C56" s="4">
        <v>0.005969991573432722</v>
      </c>
      <c r="F56" s="3">
        <f t="shared" si="3"/>
        <v>0.0187477491</v>
      </c>
      <c r="G56" s="3">
        <f t="shared" si="1"/>
        <v>0.1166666667</v>
      </c>
      <c r="H56" s="3">
        <f t="shared" si="4"/>
        <v>0.02447731481</v>
      </c>
    </row>
    <row r="57" ht="15.75" customHeight="1">
      <c r="A57" s="3">
        <f>$D$2*(55)/200</f>
        <v>0.1375</v>
      </c>
      <c r="B57" s="3">
        <v>0.01903885219118262</v>
      </c>
      <c r="C57" s="4">
        <v>0.006167770529621492</v>
      </c>
      <c r="F57" s="3">
        <f t="shared" si="3"/>
        <v>0.01903885219</v>
      </c>
      <c r="G57" s="3">
        <f t="shared" si="1"/>
        <v>0.125</v>
      </c>
      <c r="H57" s="3">
        <f t="shared" si="4"/>
        <v>0.0279296875</v>
      </c>
    </row>
    <row r="58" ht="15.75" customHeight="1">
      <c r="A58" s="3">
        <f>$D$2*(56)/200</f>
        <v>0.14</v>
      </c>
      <c r="B58" s="3">
        <v>0.019327927731018768</v>
      </c>
      <c r="C58" s="4">
        <v>0.0063676846038143945</v>
      </c>
      <c r="F58" s="3">
        <f t="shared" si="3"/>
        <v>0.01932792773</v>
      </c>
      <c r="G58" s="3">
        <f t="shared" si="1"/>
        <v>0.1333333333</v>
      </c>
      <c r="H58" s="3">
        <f t="shared" si="4"/>
        <v>0.03158518519</v>
      </c>
    </row>
    <row r="59" ht="15.75" customHeight="1">
      <c r="A59" s="3">
        <f>$D$2*(57)/200</f>
        <v>0.1425</v>
      </c>
      <c r="B59" s="3">
        <v>0.019614976281077556</v>
      </c>
      <c r="C59" s="4">
        <v>0.006569617594107246</v>
      </c>
      <c r="F59" s="3">
        <f t="shared" si="3"/>
        <v>0.01961497628</v>
      </c>
      <c r="G59" s="3">
        <f t="shared" si="1"/>
        <v>0.1416666667</v>
      </c>
      <c r="H59" s="3">
        <f t="shared" si="4"/>
        <v>0.03543929398</v>
      </c>
    </row>
    <row r="60" ht="15.75" customHeight="1">
      <c r="A60" s="3">
        <f>$D$2*(58)/200</f>
        <v>0.145</v>
      </c>
      <c r="B60" s="3">
        <v>0.019899998399949048</v>
      </c>
      <c r="C60" s="4">
        <v>0.006773450790954281</v>
      </c>
      <c r="F60" s="3">
        <f t="shared" si="3"/>
        <v>0.0198999984</v>
      </c>
      <c r="G60" s="3">
        <f t="shared" si="1"/>
        <v>0.15</v>
      </c>
      <c r="H60" s="3">
        <f t="shared" si="4"/>
        <v>0.0394875</v>
      </c>
    </row>
    <row r="61" ht="15.75" customHeight="1">
      <c r="A61" s="3">
        <f>$D$2*(59)/200</f>
        <v>0.1475</v>
      </c>
      <c r="B61" s="3">
        <v>0.020182994642073737</v>
      </c>
      <c r="C61" s="4">
        <v>0.006979063260588914</v>
      </c>
      <c r="F61" s="3">
        <f t="shared" si="3"/>
        <v>0.02018299464</v>
      </c>
      <c r="G61" s="3">
        <f t="shared" si="1"/>
        <v>0.1583333333</v>
      </c>
      <c r="H61" s="3">
        <f t="shared" si="4"/>
        <v>0.04372528935</v>
      </c>
    </row>
    <row r="62" ht="15.75" customHeight="1">
      <c r="A62" s="3">
        <f>$D$2*(60)/200</f>
        <v>0.15</v>
      </c>
      <c r="B62" s="3">
        <v>0.02046396555775365</v>
      </c>
      <c r="C62" s="4">
        <v>0.0071863321438961495</v>
      </c>
      <c r="F62" s="3">
        <f t="shared" si="3"/>
        <v>0.02046396556</v>
      </c>
      <c r="G62" s="3">
        <f t="shared" si="1"/>
        <v>0.1666666667</v>
      </c>
      <c r="H62" s="3">
        <f t="shared" si="4"/>
        <v>0.04814814815</v>
      </c>
    </row>
    <row r="63" ht="15.75" customHeight="1">
      <c r="A63" s="3">
        <f>$D$2*(61)/200</f>
        <v>0.1525</v>
      </c>
      <c r="B63" s="3">
        <v>0.02074291169315501</v>
      </c>
      <c r="C63" s="4">
        <v>0.007395132969731015</v>
      </c>
      <c r="F63" s="3">
        <f t="shared" si="3"/>
        <v>0.02074291169</v>
      </c>
      <c r="G63" s="3">
        <f t="shared" si="1"/>
        <v>0.175</v>
      </c>
      <c r="H63" s="3">
        <f t="shared" si="4"/>
        <v>0.0527515625</v>
      </c>
    </row>
    <row r="64" ht="15.75" customHeight="1">
      <c r="A64" s="3">
        <f>$D$2*(62)/200</f>
        <v>0.155</v>
      </c>
      <c r="B64" s="3">
        <v>0.021019833590311787</v>
      </c>
      <c r="C64" s="4">
        <v>0.007605339981573496</v>
      </c>
      <c r="F64" s="3">
        <f t="shared" si="3"/>
        <v>0.02101983359</v>
      </c>
      <c r="G64" s="3">
        <f t="shared" si="1"/>
        <v>0.1833333333</v>
      </c>
      <c r="H64" s="3">
        <f t="shared" si="4"/>
        <v>0.05753101852</v>
      </c>
    </row>
    <row r="65" ht="15.75" customHeight="1">
      <c r="A65" s="3">
        <f>$D$2*(63)/200</f>
        <v>0.1575</v>
      </c>
      <c r="B65" s="3">
        <v>0.021294731787135923</v>
      </c>
      <c r="C65" s="4">
        <v>0.00781682647631075</v>
      </c>
      <c r="F65" s="3">
        <f t="shared" si="3"/>
        <v>0.02129473179</v>
      </c>
      <c r="G65" s="3">
        <f t="shared" si="1"/>
        <v>0.1916666667</v>
      </c>
      <c r="H65" s="3">
        <f t="shared" si="4"/>
        <v>0.06248200231</v>
      </c>
    </row>
    <row r="66" ht="15.75" customHeight="1">
      <c r="A66" s="3">
        <f>$D$2*(64)/200</f>
        <v>0.16</v>
      </c>
      <c r="B66" s="3">
        <v>0.02156760681741865</v>
      </c>
      <c r="C66" s="4">
        <v>0.00802946515384296</v>
      </c>
      <c r="F66" s="3">
        <f t="shared" si="3"/>
        <v>0.02156760682</v>
      </c>
      <c r="G66" s="3">
        <f t="shared" si="1"/>
        <v>0.2</v>
      </c>
      <c r="H66" s="3">
        <f t="shared" si="4"/>
        <v>0.0676</v>
      </c>
    </row>
    <row r="67" ht="15.75" customHeight="1">
      <c r="A67" s="3">
        <f>$D$2*(65)/200</f>
        <v>0.1625</v>
      </c>
      <c r="B67" s="3">
        <v>0.021838459210837158</v>
      </c>
      <c r="C67" s="4">
        <v>0.008243128476120656</v>
      </c>
      <c r="F67" s="3">
        <f t="shared" si="3"/>
        <v>0.02183845921</v>
      </c>
      <c r="G67" s="3">
        <f t="shared" si="1"/>
        <v>0.2083333333</v>
      </c>
      <c r="H67" s="3">
        <f t="shared" si="4"/>
        <v>0.07288049769</v>
      </c>
    </row>
    <row r="68" ht="15.75" customHeight="1">
      <c r="A68" s="3">
        <f>$D$2*(66)/200</f>
        <v>0.165</v>
      </c>
      <c r="B68" s="3">
        <v>0.022107289492959037</v>
      </c>
      <c r="C68" s="4">
        <v>0.008457689034139584</v>
      </c>
      <c r="F68" s="3">
        <f t="shared" si="3"/>
        <v>0.02210728949</v>
      </c>
      <c r="G68" s="3">
        <f t="shared" si="1"/>
        <v>0.2166666667</v>
      </c>
      <c r="H68" s="3">
        <f t="shared" si="4"/>
        <v>0.07831898148</v>
      </c>
    </row>
    <row r="69" ht="15.75" customHeight="1">
      <c r="A69" s="3">
        <f>$D$2*(67)/200</f>
        <v>0.1675</v>
      </c>
      <c r="B69" s="3">
        <v>0.02237409818524938</v>
      </c>
      <c r="C69" s="4">
        <v>0.008673019921344737</v>
      </c>
      <c r="F69" s="3">
        <f t="shared" si="3"/>
        <v>0.02237409819</v>
      </c>
      <c r="G69" s="3">
        <f t="shared" si="1"/>
        <v>0.225</v>
      </c>
      <c r="H69" s="3">
        <f t="shared" si="4"/>
        <v>0.0839109375</v>
      </c>
    </row>
    <row r="70" ht="15.75" customHeight="1">
      <c r="A70" s="3">
        <f>$D$2*(68)/200</f>
        <v>0.17</v>
      </c>
      <c r="B70" s="3">
        <v>0.02263888580507345</v>
      </c>
      <c r="C70" s="4">
        <v>0.008888995111829105</v>
      </c>
      <c r="F70" s="3">
        <f t="shared" si="3"/>
        <v>0.02263888581</v>
      </c>
      <c r="G70" s="3">
        <f t="shared" si="1"/>
        <v>0.2333333333</v>
      </c>
      <c r="H70" s="3">
        <f t="shared" si="4"/>
        <v>0.08965185185</v>
      </c>
    </row>
    <row r="71" ht="15.75" customHeight="1">
      <c r="A71" s="3">
        <f>$D$2*(69)/200</f>
        <v>0.1725</v>
      </c>
      <c r="B71" s="3">
        <v>0.022901652865703337</v>
      </c>
      <c r="C71" s="4">
        <v>0.009105489841654952</v>
      </c>
      <c r="F71" s="3">
        <f t="shared" si="3"/>
        <v>0.02290165287</v>
      </c>
      <c r="G71" s="3">
        <f t="shared" si="1"/>
        <v>0.2416666667</v>
      </c>
      <c r="H71" s="3">
        <f t="shared" si="4"/>
        <v>0.09553721065</v>
      </c>
    </row>
    <row r="72" ht="15.75" customHeight="1">
      <c r="A72" s="3">
        <f>$D$2*(70)/200</f>
        <v>0.175</v>
      </c>
      <c r="B72" s="3">
        <v>0.023162399876323736</v>
      </c>
      <c r="C72" s="4">
        <v>0.009322380991577428</v>
      </c>
      <c r="F72" s="3">
        <f t="shared" si="3"/>
        <v>0.02316239988</v>
      </c>
      <c r="G72" s="3">
        <f t="shared" si="1"/>
        <v>0.25</v>
      </c>
      <c r="H72" s="3">
        <f t="shared" si="4"/>
        <v>0.1015625</v>
      </c>
    </row>
    <row r="73" ht="15.75" customHeight="1">
      <c r="A73" s="3">
        <f>$D$2*(71)/200</f>
        <v>0.1775</v>
      </c>
      <c r="B73" s="3">
        <v>0.02342112734203372</v>
      </c>
      <c r="C73" s="4">
        <v>0.009539547469411828</v>
      </c>
      <c r="F73" s="3">
        <f t="shared" si="3"/>
        <v>0.02342112734</v>
      </c>
      <c r="G73" s="3">
        <f t="shared" si="1"/>
        <v>0.2583333333</v>
      </c>
      <c r="H73" s="3">
        <f t="shared" si="4"/>
        <v>0.107723206</v>
      </c>
    </row>
    <row r="74" ht="15.75" customHeight="1">
      <c r="A74" s="3">
        <f>$D$2*(72)/200</f>
        <v>0.18</v>
      </c>
      <c r="B74" s="3">
        <v>0.023677835763855182</v>
      </c>
      <c r="C74" s="4">
        <v>0.009756870590257778</v>
      </c>
      <c r="F74" s="3">
        <f t="shared" si="3"/>
        <v>0.02367783576</v>
      </c>
      <c r="G74" s="3">
        <f t="shared" si="1"/>
        <v>0.2666666667</v>
      </c>
      <c r="H74" s="3">
        <f t="shared" si="4"/>
        <v>0.1140148148</v>
      </c>
    </row>
    <row r="75" ht="15.75" customHeight="1">
      <c r="A75" s="3">
        <f>$D$2*(73)/200</f>
        <v>0.1825</v>
      </c>
      <c r="B75" s="3">
        <v>0.02393252563873638</v>
      </c>
      <c r="C75" s="4">
        <v>0.009974234452776034</v>
      </c>
      <c r="F75" s="3">
        <f t="shared" si="3"/>
        <v>0.02393252564</v>
      </c>
      <c r="G75" s="3">
        <f t="shared" si="1"/>
        <v>0.275</v>
      </c>
      <c r="H75" s="3">
        <f t="shared" si="4"/>
        <v>0.1204328125</v>
      </c>
    </row>
    <row r="76" ht="15.75" customHeight="1">
      <c r="A76" s="3">
        <f>$D$2*(74)/200</f>
        <v>0.185</v>
      </c>
      <c r="B76" s="3">
        <v>0.02418519745955594</v>
      </c>
      <c r="C76" s="4">
        <v>0.010191526309707228</v>
      </c>
      <c r="F76" s="3">
        <f t="shared" si="3"/>
        <v>0.02418519746</v>
      </c>
      <c r="G76" s="3">
        <f t="shared" si="1"/>
        <v>0.2833333333</v>
      </c>
      <c r="H76" s="3">
        <f t="shared" si="4"/>
        <v>0.1269726852</v>
      </c>
    </row>
    <row r="77" ht="15.75" customHeight="1">
      <c r="A77" s="3">
        <f>$D$2*(75)/200</f>
        <v>0.1875</v>
      </c>
      <c r="B77" s="3">
        <v>0.024435851715129964</v>
      </c>
      <c r="C77" s="4">
        <v>0.010408636930826307</v>
      </c>
      <c r="F77" s="3">
        <f t="shared" si="3"/>
        <v>0.02443585172</v>
      </c>
      <c r="G77" s="3">
        <f t="shared" si="1"/>
        <v>0.2916666667</v>
      </c>
      <c r="H77" s="3">
        <f t="shared" si="4"/>
        <v>0.133629919</v>
      </c>
    </row>
    <row r="78" ht="15.75" customHeight="1">
      <c r="A78" s="3">
        <f>$D$2*(76)/200</f>
        <v>0.19</v>
      </c>
      <c r="B78" s="3">
        <v>0.02468448889021424</v>
      </c>
      <c r="C78" s="4">
        <v>0.010625460956542467</v>
      </c>
      <c r="F78" s="3">
        <f t="shared" si="3"/>
        <v>0.02468448889</v>
      </c>
      <c r="G78" s="3">
        <f t="shared" si="1"/>
        <v>0.3</v>
      </c>
      <c r="H78" s="3">
        <f t="shared" si="4"/>
        <v>0.1404</v>
      </c>
    </row>
    <row r="79" ht="15.75" customHeight="1">
      <c r="A79" s="3">
        <f>$D$2*(77)/200</f>
        <v>0.1925</v>
      </c>
      <c r="B79" s="3">
        <v>0.02493110946551047</v>
      </c>
      <c r="C79" s="4">
        <v>0.010841897240381513</v>
      </c>
      <c r="F79" s="3">
        <f t="shared" si="3"/>
        <v>0.02493110947</v>
      </c>
      <c r="G79" s="3">
        <f t="shared" si="1"/>
        <v>0.3083333333</v>
      </c>
      <c r="H79" s="3">
        <f t="shared" si="4"/>
        <v>0.1472784144</v>
      </c>
    </row>
    <row r="80" ht="15.75" customHeight="1">
      <c r="A80" s="3">
        <f>$D$2*(78)/200</f>
        <v>0.195</v>
      </c>
      <c r="B80" s="3">
        <v>0.025175713917670706</v>
      </c>
      <c r="C80" s="4">
        <v>0.011057849178626126</v>
      </c>
      <c r="F80" s="3">
        <f t="shared" si="3"/>
        <v>0.02517571392</v>
      </c>
      <c r="G80" s="3">
        <f t="shared" si="1"/>
        <v>0.3166666667</v>
      </c>
      <c r="H80" s="3">
        <f t="shared" si="4"/>
        <v>0.1542606481</v>
      </c>
    </row>
    <row r="81" ht="15.75" customHeight="1">
      <c r="A81" s="3">
        <f>$D$2*(79)/200</f>
        <v>0.1975</v>
      </c>
      <c r="B81" s="3">
        <v>0.025418302719302677</v>
      </c>
      <c r="C81" s="4">
        <v>0.011273225025439183</v>
      </c>
      <c r="F81" s="3">
        <f t="shared" si="3"/>
        <v>0.02541830272</v>
      </c>
      <c r="G81" s="3">
        <f t="shared" si="1"/>
        <v>0.325</v>
      </c>
      <c r="H81" s="3">
        <f t="shared" si="4"/>
        <v>0.1613421875</v>
      </c>
    </row>
    <row r="82" ht="15.75" customHeight="1">
      <c r="A82" s="3">
        <f>$D$2*(80)/200</f>
        <v>0.2</v>
      </c>
      <c r="B82" s="3">
        <v>0.025658876338972902</v>
      </c>
      <c r="C82" s="4">
        <v>0.011487938191855934</v>
      </c>
      <c r="F82" s="3">
        <f t="shared" si="3"/>
        <v>0.02565887634</v>
      </c>
      <c r="G82" s="3">
        <f t="shared" si="1"/>
        <v>0.3333333333</v>
      </c>
      <c r="H82" s="3">
        <f t="shared" si="4"/>
        <v>0.1685185185</v>
      </c>
    </row>
    <row r="83" ht="15.75" customHeight="1">
      <c r="A83" s="3">
        <f>$D$2*(81)/200</f>
        <v>0.2025</v>
      </c>
      <c r="B83" s="3">
        <v>0.025897435241212463</v>
      </c>
      <c r="C83" s="4">
        <v>0.011701907527101997</v>
      </c>
      <c r="F83" s="3">
        <f t="shared" si="3"/>
        <v>0.02589743524</v>
      </c>
      <c r="G83" s="3">
        <f t="shared" si="1"/>
        <v>0.3416666667</v>
      </c>
      <c r="H83" s="3">
        <f t="shared" si="4"/>
        <v>0.1757851273</v>
      </c>
    </row>
    <row r="84" ht="15.75" customHeight="1">
      <c r="A84" s="3">
        <f>$D$2*(82)/200</f>
        <v>0.205</v>
      </c>
      <c r="B84" s="3">
        <v>0.026133979886520553</v>
      </c>
      <c r="C84" s="4">
        <v>0.01191505758077576</v>
      </c>
      <c r="F84" s="3">
        <f t="shared" si="3"/>
        <v>0.02613397989</v>
      </c>
      <c r="G84" s="3">
        <f t="shared" si="1"/>
        <v>0.35</v>
      </c>
      <c r="H84" s="3">
        <f t="shared" si="4"/>
        <v>0.1831375</v>
      </c>
    </row>
    <row r="85" ht="15.75" customHeight="1">
      <c r="A85" s="3">
        <f>$D$2*(83)/200</f>
        <v>0.2075</v>
      </c>
      <c r="B85" s="3">
        <v>0.026368510731370698</v>
      </c>
      <c r="C85" s="4">
        <v>0.01212731884452501</v>
      </c>
      <c r="F85" s="3">
        <f t="shared" si="3"/>
        <v>0.02636851073</v>
      </c>
      <c r="G85" s="3">
        <f t="shared" si="1"/>
        <v>0.3583333333</v>
      </c>
      <c r="H85" s="3">
        <f t="shared" si="4"/>
        <v>0.1905711227</v>
      </c>
    </row>
    <row r="86" ht="15.75" customHeight="1">
      <c r="A86" s="3">
        <f>$D$2*(84)/200</f>
        <v>0.21</v>
      </c>
      <c r="B86" s="3">
        <v>0.026601028228212975</v>
      </c>
      <c r="C86" s="4">
        <v>0.012338627971948048</v>
      </c>
      <c r="F86" s="3">
        <f t="shared" si="3"/>
        <v>0.02660102823</v>
      </c>
      <c r="G86" s="3">
        <f t="shared" si="1"/>
        <v>0.3666666667</v>
      </c>
      <c r="H86" s="3">
        <f t="shared" si="4"/>
        <v>0.1980814815</v>
      </c>
    </row>
    <row r="87" ht="15.75" customHeight="1">
      <c r="A87" s="3">
        <f>$D$2*(85)/200</f>
        <v>0.2125</v>
      </c>
      <c r="B87" s="3">
        <v>0.02683153282548112</v>
      </c>
      <c r="C87" s="4">
        <v>0.01254892797555885</v>
      </c>
      <c r="F87" s="3">
        <f t="shared" si="3"/>
        <v>0.02683153283</v>
      </c>
      <c r="G87" s="3">
        <f t="shared" si="1"/>
        <v>0.375</v>
      </c>
      <c r="H87" s="3">
        <f t="shared" si="4"/>
        <v>0.2056640625</v>
      </c>
    </row>
    <row r="88" ht="15.75" customHeight="1">
      <c r="A88" s="3">
        <f>$D$2*(86)/200</f>
        <v>0.215</v>
      </c>
      <c r="B88" s="3">
        <v>0.02706002496759341</v>
      </c>
      <c r="C88" s="4">
        <v>0.012758168399772573</v>
      </c>
      <c r="F88" s="3">
        <f t="shared" si="3"/>
        <v>0.02706002497</v>
      </c>
      <c r="G88" s="3">
        <f t="shared" si="1"/>
        <v>0.3833333333</v>
      </c>
      <c r="H88" s="3">
        <f t="shared" si="4"/>
        <v>0.2133143519</v>
      </c>
    </row>
    <row r="89" ht="15.75" customHeight="1">
      <c r="A89" s="3">
        <f>$D$2*(87)/200</f>
        <v>0.2175</v>
      </c>
      <c r="B89" s="3">
        <v>0.027286505094960223</v>
      </c>
      <c r="C89" s="4">
        <v>0.0129663054689921</v>
      </c>
      <c r="F89" s="3">
        <f t="shared" si="3"/>
        <v>0.02728650509</v>
      </c>
      <c r="G89" s="3">
        <f t="shared" si="1"/>
        <v>0.3916666667</v>
      </c>
      <c r="H89" s="3">
        <f t="shared" si="4"/>
        <v>0.2210278356</v>
      </c>
    </row>
    <row r="90" ht="15.75" customHeight="1">
      <c r="A90" s="3">
        <f>$D$2*(88)/200</f>
        <v>0.22</v>
      </c>
      <c r="B90" s="3">
        <v>0.027510973643987136</v>
      </c>
      <c r="C90" s="4">
        <v>0.013173302210006548</v>
      </c>
      <c r="F90" s="3">
        <f t="shared" si="3"/>
        <v>0.02751097364</v>
      </c>
      <c r="G90" s="3">
        <f t="shared" si="1"/>
        <v>0.4</v>
      </c>
      <c r="H90" s="3">
        <f t="shared" si="4"/>
        <v>0.2288</v>
      </c>
    </row>
    <row r="91" ht="15.75" customHeight="1">
      <c r="A91" s="3">
        <f>$D$2*(89)/200</f>
        <v>0.2225</v>
      </c>
      <c r="B91" s="3">
        <v>0.027733431047078483</v>
      </c>
      <c r="C91" s="4">
        <v>0.013379128548048742</v>
      </c>
      <c r="F91" s="3">
        <f t="shared" si="3"/>
        <v>0.02773343105</v>
      </c>
      <c r="G91" s="3">
        <f t="shared" si="1"/>
        <v>0.4083333333</v>
      </c>
      <c r="H91" s="3">
        <f t="shared" si="4"/>
        <v>0.236626331</v>
      </c>
    </row>
    <row r="92" ht="15.75" customHeight="1">
      <c r="A92" s="3">
        <f>$D$2*(90)/200</f>
        <v>0.225</v>
      </c>
      <c r="B92" s="3">
        <v>0.02795387773264224</v>
      </c>
      <c r="C92" s="4">
        <v>0.013583761375998763</v>
      </c>
      <c r="F92" s="3">
        <f t="shared" si="3"/>
        <v>0.02795387773</v>
      </c>
      <c r="G92" s="3">
        <f t="shared" si="1"/>
        <v>0.4166666667</v>
      </c>
      <c r="H92" s="3">
        <f t="shared" si="4"/>
        <v>0.2445023148</v>
      </c>
    </row>
    <row r="93" ht="15.75" customHeight="1">
      <c r="A93" s="3">
        <f>$D$2*(91)/200</f>
        <v>0.2275</v>
      </c>
      <c r="B93" s="3">
        <v>0.02817231412509491</v>
      </c>
      <c r="C93" s="4">
        <v>0.013787184596364927</v>
      </c>
      <c r="F93" s="3">
        <f t="shared" si="3"/>
        <v>0.02817231413</v>
      </c>
      <c r="G93" s="3">
        <f t="shared" si="1"/>
        <v>0.425</v>
      </c>
      <c r="H93" s="3">
        <f t="shared" si="4"/>
        <v>0.2524234375</v>
      </c>
    </row>
    <row r="94" ht="15.75" customHeight="1">
      <c r="A94" s="3">
        <f>$D$2*(92)/200</f>
        <v>0.23</v>
      </c>
      <c r="B94" s="3">
        <v>0.028388740644862853</v>
      </c>
      <c r="C94" s="4">
        <v>0.013989389135819735</v>
      </c>
      <c r="F94" s="3">
        <f t="shared" si="3"/>
        <v>0.02838874064</v>
      </c>
      <c r="G94" s="3">
        <f t="shared" si="1"/>
        <v>0.4333333333</v>
      </c>
      <c r="H94" s="3">
        <f t="shared" si="4"/>
        <v>0.2603851852</v>
      </c>
    </row>
    <row r="95" ht="15.75" customHeight="1">
      <c r="A95" s="3">
        <f>$D$2*(93)/200</f>
        <v>0.2325</v>
      </c>
      <c r="B95" s="3">
        <v>0.02860315770839117</v>
      </c>
      <c r="C95" s="4">
        <v>0.014190372932216599</v>
      </c>
      <c r="F95" s="3">
        <f t="shared" si="3"/>
        <v>0.02860315771</v>
      </c>
      <c r="G95" s="3">
        <f t="shared" si="1"/>
        <v>0.4416666667</v>
      </c>
      <c r="H95" s="3">
        <f t="shared" si="4"/>
        <v>0.268383044</v>
      </c>
    </row>
    <row r="96" ht="15.75" customHeight="1">
      <c r="A96" s="3">
        <f>$D$2*(94)/200</f>
        <v>0.235</v>
      </c>
      <c r="B96" s="3">
        <v>0.02881556572814281</v>
      </c>
      <c r="C96" s="4">
        <v>0.014390140894161373</v>
      </c>
      <c r="F96" s="3">
        <f t="shared" si="3"/>
        <v>0.02881556573</v>
      </c>
      <c r="G96" s="3">
        <f t="shared" si="1"/>
        <v>0.45</v>
      </c>
      <c r="H96" s="3">
        <f t="shared" si="4"/>
        <v>0.2764125</v>
      </c>
    </row>
    <row r="97" ht="15.75" customHeight="1">
      <c r="A97" s="3">
        <f>$D$2*(95)/200</f>
        <v>0.2375</v>
      </c>
      <c r="B97" s="3">
        <v>0.029025965112606134</v>
      </c>
      <c r="C97" s="4">
        <v>0.014588704833361228</v>
      </c>
      <c r="F97" s="3">
        <f t="shared" si="3"/>
        <v>0.02902596511</v>
      </c>
      <c r="G97" s="3">
        <f t="shared" si="1"/>
        <v>0.4583333333</v>
      </c>
      <c r="H97" s="3">
        <f t="shared" si="4"/>
        <v>0.2844690394</v>
      </c>
    </row>
    <row r="98" ht="15.75" customHeight="1">
      <c r="A98" s="3">
        <f>$D$2*(96)/200</f>
        <v>0.24</v>
      </c>
      <c r="B98" s="3">
        <v>0.02923435626629578</v>
      </c>
      <c r="C98" s="4">
        <v>0.014786083370119205</v>
      </c>
      <c r="F98" s="3">
        <f t="shared" si="3"/>
        <v>0.02923435627</v>
      </c>
      <c r="G98" s="3">
        <f t="shared" si="1"/>
        <v>0.4666666667</v>
      </c>
      <c r="H98" s="3">
        <f t="shared" si="4"/>
        <v>0.2925481481</v>
      </c>
    </row>
    <row r="99" ht="15.75" customHeight="1">
      <c r="A99" s="3">
        <f>$D$2*(97)/200</f>
        <v>0.2425</v>
      </c>
      <c r="B99" s="3">
        <v>0.02944073958975979</v>
      </c>
      <c r="C99" s="4">
        <v>0.014982301812487438</v>
      </c>
      <c r="F99" s="3">
        <f t="shared" si="3"/>
        <v>0.02944073959</v>
      </c>
      <c r="G99" s="3">
        <f t="shared" si="1"/>
        <v>0.475</v>
      </c>
      <c r="H99" s="3">
        <f t="shared" si="4"/>
        <v>0.3006453125</v>
      </c>
    </row>
    <row r="100" ht="15.75" customHeight="1">
      <c r="A100" s="3">
        <f>$D$2*(98)/200</f>
        <v>0.245</v>
      </c>
      <c r="B100" s="3">
        <v>0.02964511547958182</v>
      </c>
      <c r="C100" s="4">
        <v>0.015177392009731833</v>
      </c>
      <c r="F100" s="3">
        <f t="shared" si="3"/>
        <v>0.02964511548</v>
      </c>
      <c r="G100" s="3">
        <f t="shared" si="1"/>
        <v>0.4833333333</v>
      </c>
      <c r="H100" s="3">
        <f t="shared" si="4"/>
        <v>0.3087560185</v>
      </c>
    </row>
    <row r="101" ht="15.75" customHeight="1">
      <c r="A101" s="3">
        <f>$D$2*(99)/200</f>
        <v>0.2475</v>
      </c>
      <c r="B101" s="3">
        <v>0.029847484328384244</v>
      </c>
      <c r="C101" s="4">
        <v>0.015371392180897163</v>
      </c>
      <c r="F101" s="3">
        <f t="shared" si="3"/>
        <v>0.02984748433</v>
      </c>
      <c r="G101" s="3">
        <f t="shared" si="1"/>
        <v>0.4916666667</v>
      </c>
      <c r="H101" s="3">
        <f t="shared" si="4"/>
        <v>0.3168757523</v>
      </c>
    </row>
    <row r="102" ht="15.75" customHeight="1">
      <c r="A102" s="3">
        <f>$D$2*(100)/200</f>
        <v>0.25</v>
      </c>
      <c r="B102" s="3">
        <v>0.030047846524834387</v>
      </c>
      <c r="C102" s="4">
        <v>0.015564346719391931</v>
      </c>
      <c r="F102" s="3">
        <f t="shared" si="3"/>
        <v>0.03004784652</v>
      </c>
      <c r="G102" s="3">
        <f t="shared" si="1"/>
        <v>0.5</v>
      </c>
      <c r="H102" s="3">
        <f t="shared" si="4"/>
        <v>0.325</v>
      </c>
    </row>
    <row r="103" ht="15.75" customHeight="1">
      <c r="A103" s="3">
        <f>$D$2*(101)/200</f>
        <v>0.2525</v>
      </c>
      <c r="B103" s="3">
        <v>0.030246202453644955</v>
      </c>
      <c r="C103" s="4">
        <v>0.015756305974636432</v>
      </c>
      <c r="F103" s="3">
        <f t="shared" si="3"/>
        <v>0.03024620245</v>
      </c>
      <c r="G103" s="3">
        <f t="shared" si="1"/>
        <v>0.5083333333</v>
      </c>
      <c r="H103" s="3">
        <f t="shared" si="4"/>
        <v>0.3331242477</v>
      </c>
    </row>
    <row r="104" ht="15.75" customHeight="1">
      <c r="A104" s="3">
        <f>$D$2*(102)/200</f>
        <v>0.255</v>
      </c>
      <c r="B104" s="3">
        <v>0.0304425524955807</v>
      </c>
      <c r="C104" s="4">
        <v>0.01594732601193449</v>
      </c>
      <c r="F104" s="3">
        <f t="shared" si="3"/>
        <v>0.0304425525</v>
      </c>
      <c r="G104" s="3">
        <f t="shared" si="1"/>
        <v>0.5166666667</v>
      </c>
      <c r="H104" s="3">
        <f t="shared" si="4"/>
        <v>0.3412439815</v>
      </c>
    </row>
    <row r="105" ht="15.75" customHeight="1">
      <c r="A105" s="3">
        <f>$D$2*(103)/200</f>
        <v>0.2575</v>
      </c>
      <c r="B105" s="3">
        <v>0.03063689702746064</v>
      </c>
      <c r="C105" s="4">
        <v>0.016137468351838418</v>
      </c>
      <c r="F105" s="3">
        <f t="shared" si="3"/>
        <v>0.03063689703</v>
      </c>
      <c r="G105" s="3">
        <f t="shared" si="1"/>
        <v>0.525</v>
      </c>
      <c r="H105" s="3">
        <f t="shared" si="4"/>
        <v>0.3493546875</v>
      </c>
    </row>
    <row r="106" ht="15.75" customHeight="1">
      <c r="A106" s="3">
        <f>$D$2*(104)/200</f>
        <v>0.26</v>
      </c>
      <c r="B106" s="3">
        <v>0.030829236422162065</v>
      </c>
      <c r="C106" s="4">
        <v>0.016326799690377397</v>
      </c>
      <c r="F106" s="3">
        <f t="shared" si="3"/>
        <v>0.03082923642</v>
      </c>
      <c r="G106" s="3">
        <f t="shared" si="1"/>
        <v>0.5333333333</v>
      </c>
      <c r="H106" s="3">
        <f t="shared" si="4"/>
        <v>0.3574518519</v>
      </c>
    </row>
    <row r="107" ht="15.75" customHeight="1">
      <c r="A107" s="3">
        <f>$D$2*(105)/200</f>
        <v>0.2625</v>
      </c>
      <c r="B107" s="3">
        <v>0.03101957104862496</v>
      </c>
      <c r="C107" s="4">
        <v>0.016515391601610446</v>
      </c>
      <c r="F107" s="3">
        <f t="shared" si="3"/>
        <v>0.03101957105</v>
      </c>
      <c r="G107" s="3">
        <f t="shared" si="1"/>
        <v>0.5416666667</v>
      </c>
      <c r="H107" s="3">
        <f t="shared" si="4"/>
        <v>0.3655309606</v>
      </c>
    </row>
    <row r="108" ht="15.75" customHeight="1">
      <c r="A108" s="3">
        <f>$D$2*(106)/200</f>
        <v>0.265</v>
      </c>
      <c r="B108" s="3">
        <v>0.03120790127185291</v>
      </c>
      <c r="C108" s="4">
        <v>0.016703320224047104</v>
      </c>
      <c r="F108" s="3">
        <f t="shared" si="3"/>
        <v>0.03120790127</v>
      </c>
      <c r="G108" s="3">
        <f t="shared" si="1"/>
        <v>0.55</v>
      </c>
      <c r="H108" s="3">
        <f t="shared" si="4"/>
        <v>0.3735875</v>
      </c>
    </row>
    <row r="109" ht="15.75" customHeight="1">
      <c r="A109" s="3">
        <f>$D$2*(107)/200</f>
        <v>0.2675</v>
      </c>
      <c r="B109" s="3">
        <v>0.0313942274529202</v>
      </c>
      <c r="C109" s="4">
        <v>0.016890665932549724</v>
      </c>
      <c r="F109" s="3">
        <f t="shared" si="3"/>
        <v>0.03139422745</v>
      </c>
      <c r="G109" s="3">
        <f t="shared" si="1"/>
        <v>0.5583333333</v>
      </c>
      <c r="H109" s="3">
        <f t="shared" si="4"/>
        <v>0.381616956</v>
      </c>
    </row>
    <row r="110" ht="15.75" customHeight="1">
      <c r="A110" s="3">
        <f>$D$2*(108)/200</f>
        <v>0.27</v>
      </c>
      <c r="B110" s="3">
        <v>0.031578549948973134</v>
      </c>
      <c r="C110" s="4">
        <v>0.017077512997392307</v>
      </c>
      <c r="F110" s="3">
        <f t="shared" si="3"/>
        <v>0.03157854995</v>
      </c>
      <c r="G110" s="3">
        <f t="shared" si="1"/>
        <v>0.5666666667</v>
      </c>
      <c r="H110" s="3">
        <f t="shared" si="4"/>
        <v>0.3896148148</v>
      </c>
    </row>
    <row r="111" ht="15.75" customHeight="1">
      <c r="A111" s="3">
        <f>$D$2*(109)/200</f>
        <v>0.2725</v>
      </c>
      <c r="B111" s="3">
        <v>0.03176086911323228</v>
      </c>
      <c r="C111" s="4">
        <v>0.017263949232200218</v>
      </c>
      <c r="F111" s="3">
        <f t="shared" si="3"/>
        <v>0.03176086911</v>
      </c>
      <c r="G111" s="3">
        <f t="shared" si="1"/>
        <v>0.575</v>
      </c>
      <c r="H111" s="3">
        <f t="shared" si="4"/>
        <v>0.3975765625</v>
      </c>
    </row>
    <row r="112" ht="15.75" customHeight="1">
      <c r="A112" s="3">
        <f>$D$2*(110)/200</f>
        <v>0.275</v>
      </c>
      <c r="B112" s="3">
        <v>0.03194118529500001</v>
      </c>
      <c r="C112" s="4">
        <v>0.017450065632533773</v>
      </c>
      <c r="F112" s="3">
        <f t="shared" si="3"/>
        <v>0.0319411853</v>
      </c>
      <c r="G112" s="3">
        <f t="shared" si="1"/>
        <v>0.5833333333</v>
      </c>
      <c r="H112" s="3">
        <f t="shared" si="4"/>
        <v>0.4054976852</v>
      </c>
    </row>
    <row r="113" ht="15.75" customHeight="1">
      <c r="A113" s="3">
        <f>$D$2*(111)/200</f>
        <v>0.2775</v>
      </c>
      <c r="B113" s="3">
        <v>0.03211949883966003</v>
      </c>
      <c r="C113" s="4">
        <v>0.017635956006905783</v>
      </c>
      <c r="F113" s="3">
        <f t="shared" si="3"/>
        <v>0.03211949884</v>
      </c>
      <c r="G113" s="3">
        <f t="shared" si="1"/>
        <v>0.5916666667</v>
      </c>
      <c r="H113" s="3">
        <f t="shared" si="4"/>
        <v>0.413373669</v>
      </c>
    </row>
    <row r="114" ht="15.75" customHeight="1">
      <c r="A114" s="3">
        <f>$D$2*(112)/200</f>
        <v>0.28</v>
      </c>
      <c r="B114" s="3">
        <v>0.03229581008868232</v>
      </c>
      <c r="C114" s="4">
        <v>0.017821716602039267</v>
      </c>
      <c r="F114" s="3">
        <f t="shared" si="3"/>
        <v>0.03229581009</v>
      </c>
      <c r="G114" s="3">
        <f t="shared" si="1"/>
        <v>0.6</v>
      </c>
      <c r="H114" s="3">
        <f t="shared" si="4"/>
        <v>0.4212</v>
      </c>
    </row>
    <row r="115" ht="15.75" customHeight="1">
      <c r="A115" s="3">
        <f>$D$2*(113)/200</f>
        <v>0.2825</v>
      </c>
      <c r="B115" s="3">
        <v>0.032470119379625295</v>
      </c>
      <c r="C115" s="4">
        <v>0.018007445724175827</v>
      </c>
      <c r="F115" s="3">
        <f t="shared" si="3"/>
        <v>0.03247011938</v>
      </c>
      <c r="G115" s="3">
        <f t="shared" si="1"/>
        <v>0.6083333333</v>
      </c>
      <c r="H115" s="3">
        <f t="shared" si="4"/>
        <v>0.4289721644</v>
      </c>
    </row>
    <row r="116" ht="15.75" customHeight="1">
      <c r="A116" s="3">
        <f>$D$2*(114)/200</f>
        <v>0.285</v>
      </c>
      <c r="B116" s="3">
        <v>0.03264242704614162</v>
      </c>
      <c r="C116" s="4">
        <v>0.01819324335823902</v>
      </c>
      <c r="F116" s="3">
        <f t="shared" si="3"/>
        <v>0.03264242705</v>
      </c>
      <c r="G116" s="3">
        <f t="shared" si="1"/>
        <v>0.6166666667</v>
      </c>
      <c r="H116" s="3">
        <f t="shared" si="4"/>
        <v>0.4366856481</v>
      </c>
    </row>
    <row r="117" ht="15.75" customHeight="1">
      <c r="A117" s="3">
        <f>$D$2*(115)/200</f>
        <v>0.2875</v>
      </c>
      <c r="B117" s="3">
        <v>0.032812733417977746</v>
      </c>
      <c r="C117" s="4">
        <v>0.01837921078663918</v>
      </c>
      <c r="F117" s="3">
        <f t="shared" si="3"/>
        <v>0.03281273342</v>
      </c>
      <c r="G117" s="3">
        <f t="shared" si="1"/>
        <v>0.625</v>
      </c>
      <c r="H117" s="3">
        <f t="shared" si="4"/>
        <v>0.4443359375</v>
      </c>
    </row>
    <row r="118" ht="15.75" customHeight="1">
      <c r="A118" s="3">
        <f>$D$2*(116)/200</f>
        <v>0.29</v>
      </c>
      <c r="B118" s="3">
        <v>0.03298103882098058</v>
      </c>
      <c r="C118" s="4">
        <v>0.01856545020947844</v>
      </c>
      <c r="F118" s="3">
        <f t="shared" si="3"/>
        <v>0.03298103882</v>
      </c>
      <c r="G118" s="3">
        <f t="shared" si="1"/>
        <v>0.6333333333</v>
      </c>
      <c r="H118" s="3">
        <f t="shared" si="4"/>
        <v>0.4519185185</v>
      </c>
    </row>
    <row r="119" ht="15.75" customHeight="1">
      <c r="A119" s="3">
        <f>$D$2*(117)/200</f>
        <v>0.2925</v>
      </c>
      <c r="B119" s="3">
        <v>0.03314734357709881</v>
      </c>
      <c r="C119" s="4">
        <v>0.01875206436787604</v>
      </c>
      <c r="F119" s="3">
        <f t="shared" si="3"/>
        <v>0.03314734358</v>
      </c>
      <c r="G119" s="3">
        <f t="shared" si="1"/>
        <v>0.6416666667</v>
      </c>
      <c r="H119" s="3">
        <f t="shared" si="4"/>
        <v>0.4594288773</v>
      </c>
    </row>
    <row r="120" ht="15.75" customHeight="1">
      <c r="A120" s="3">
        <f>$D$2*(118)/200</f>
        <v>0.295</v>
      </c>
      <c r="B120" s="3">
        <v>0.03331164800438513</v>
      </c>
      <c r="C120" s="4">
        <v>0.018939156172085872</v>
      </c>
      <c r="F120" s="3">
        <f t="shared" si="3"/>
        <v>0.033311648</v>
      </c>
      <c r="G120" s="3">
        <f t="shared" si="1"/>
        <v>0.65</v>
      </c>
      <c r="H120" s="3">
        <f t="shared" si="4"/>
        <v>0.4668625</v>
      </c>
    </row>
    <row r="121" ht="15.75" customHeight="1">
      <c r="A121" s="3">
        <f>$D$2*(119)/200</f>
        <v>0.2975</v>
      </c>
      <c r="B121" s="3">
        <v>0.03347395241700246</v>
      </c>
      <c r="C121" s="4">
        <v>0.019126828336020803</v>
      </c>
      <c r="F121" s="3">
        <f t="shared" si="3"/>
        <v>0.03347395242</v>
      </c>
      <c r="G121" s="3">
        <f t="shared" si="1"/>
        <v>0.6583333333</v>
      </c>
      <c r="H121" s="3">
        <f t="shared" si="4"/>
        <v>0.4742148727</v>
      </c>
    </row>
    <row r="122" ht="15.75" customHeight="1">
      <c r="A122" s="3">
        <f>$D$2*(120)/200</f>
        <v>0.3</v>
      </c>
      <c r="B122" s="3">
        <v>0.033634257125223055</v>
      </c>
      <c r="C122" s="4">
        <v>0.01931518301973194</v>
      </c>
      <c r="F122" s="3">
        <f t="shared" si="3"/>
        <v>0.03363425713</v>
      </c>
      <c r="G122" s="3">
        <f t="shared" si="1"/>
        <v>0.6666666667</v>
      </c>
      <c r="H122" s="3">
        <f t="shared" si="4"/>
        <v>0.4814814815</v>
      </c>
    </row>
    <row r="123" ht="15.75" customHeight="1">
      <c r="A123" s="3">
        <f>$D$2*(121)/200</f>
        <v>0.3025</v>
      </c>
      <c r="B123" s="3">
        <v>0.033792562435434714</v>
      </c>
      <c r="C123" s="4">
        <v>0.01950432148131669</v>
      </c>
      <c r="F123" s="3">
        <f t="shared" si="3"/>
        <v>0.03379256244</v>
      </c>
      <c r="G123" s="3">
        <f t="shared" si="1"/>
        <v>0.675</v>
      </c>
      <c r="H123" s="3">
        <f t="shared" si="4"/>
        <v>0.4886578125</v>
      </c>
    </row>
    <row r="124" ht="15.75" customHeight="1">
      <c r="A124" s="3">
        <f>$D$2*(122)/200</f>
        <v>0.305</v>
      </c>
      <c r="B124" s="3">
        <v>0.03394886865014124</v>
      </c>
      <c r="C124" s="4">
        <v>0.019694343739647766</v>
      </c>
      <c r="F124" s="3">
        <f t="shared" si="3"/>
        <v>0.03394886865</v>
      </c>
      <c r="G124" s="3">
        <f t="shared" si="1"/>
        <v>0.6833333333</v>
      </c>
      <c r="H124" s="3">
        <f t="shared" si="4"/>
        <v>0.4957393519</v>
      </c>
    </row>
    <row r="125" ht="15.75" customHeight="1">
      <c r="A125" s="3">
        <f>$D$2*(123)/200</f>
        <v>0.3075</v>
      </c>
      <c r="B125" s="3">
        <v>0.034103176067967755</v>
      </c>
      <c r="C125" s="4">
        <v>0.019885348249226515</v>
      </c>
      <c r="F125" s="3">
        <f t="shared" si="3"/>
        <v>0.03410317607</v>
      </c>
      <c r="G125" s="3">
        <f t="shared" si="1"/>
        <v>0.6916666667</v>
      </c>
      <c r="H125" s="3">
        <f t="shared" si="4"/>
        <v>0.5027215856</v>
      </c>
    </row>
    <row r="126" ht="15.75" customHeight="1">
      <c r="A126" s="3">
        <f>$D$2*(124)/200</f>
        <v>0.31</v>
      </c>
      <c r="B126" s="3">
        <v>0.034255484983661155</v>
      </c>
      <c r="C126" s="4">
        <v>0.02007743158836995</v>
      </c>
      <c r="F126" s="3">
        <f t="shared" si="3"/>
        <v>0.03425548498</v>
      </c>
      <c r="G126" s="3">
        <f t="shared" si="1"/>
        <v>0.7</v>
      </c>
      <c r="H126" s="3">
        <f t="shared" si="4"/>
        <v>0.5096</v>
      </c>
    </row>
    <row r="127" ht="15.75" customHeight="1">
      <c r="A127" s="3">
        <f>$D$2*(125)/200</f>
        <v>0.3125</v>
      </c>
      <c r="B127" s="3">
        <v>0.03440579568809499</v>
      </c>
      <c r="C127" s="4">
        <v>0.02027068816184065</v>
      </c>
      <c r="F127" s="3">
        <f t="shared" si="3"/>
        <v>0.03440579569</v>
      </c>
      <c r="G127" s="3">
        <f t="shared" si="1"/>
        <v>0.7083333333</v>
      </c>
      <c r="H127" s="3">
        <f t="shared" si="4"/>
        <v>0.516370081</v>
      </c>
    </row>
    <row r="128" ht="15.75" customHeight="1">
      <c r="A128" s="3">
        <f>$D$2*(126)/200</f>
        <v>0.315</v>
      </c>
      <c r="B128" s="3">
        <v>0.03455410846827123</v>
      </c>
      <c r="C128" s="4">
        <v>0.020465209918925264</v>
      </c>
      <c r="F128" s="3">
        <f t="shared" si="3"/>
        <v>0.03455410847</v>
      </c>
      <c r="G128" s="3">
        <f t="shared" si="1"/>
        <v>0.7166666667</v>
      </c>
      <c r="H128" s="3">
        <f t="shared" si="4"/>
        <v>0.5230273148</v>
      </c>
    </row>
    <row r="129" ht="15.75" customHeight="1">
      <c r="A129" s="3">
        <f>$D$2*(127)/200</f>
        <v>0.3175</v>
      </c>
      <c r="B129" s="3">
        <v>0.034700423607322506</v>
      </c>
      <c r="C129" s="4">
        <v>0.020661086087859305</v>
      </c>
      <c r="F129" s="3">
        <f t="shared" si="3"/>
        <v>0.03470042361</v>
      </c>
      <c r="G129" s="3">
        <f t="shared" si="1"/>
        <v>0.725</v>
      </c>
      <c r="H129" s="3">
        <f t="shared" si="4"/>
        <v>0.5295671875</v>
      </c>
    </row>
    <row r="130" ht="15.75" customHeight="1">
      <c r="A130" s="3">
        <f>$D$2*(128)/200</f>
        <v>0.32</v>
      </c>
      <c r="B130" s="3">
        <v>0.0348447413845161</v>
      </c>
      <c r="C130" s="4">
        <v>0.020858402927386114</v>
      </c>
      <c r="F130" s="3">
        <f t="shared" si="3"/>
        <v>0.03484474138</v>
      </c>
      <c r="G130" s="3">
        <f t="shared" si="1"/>
        <v>0.7333333333</v>
      </c>
      <c r="H130" s="3">
        <f t="shared" si="4"/>
        <v>0.5359851852</v>
      </c>
    </row>
    <row r="131" ht="15.75" customHeight="1">
      <c r="A131" s="3">
        <f>$D$2*(129)/200</f>
        <v>0.3225</v>
      </c>
      <c r="B131" s="3">
        <v>0.03498706207525659</v>
      </c>
      <c r="C131" s="4">
        <v>0.021057243496125214</v>
      </c>
      <c r="F131" s="3">
        <f t="shared" si="3"/>
        <v>0.03498706208</v>
      </c>
      <c r="G131" s="3">
        <f t="shared" si="1"/>
        <v>0.7416666667</v>
      </c>
      <c r="H131" s="3">
        <f t="shared" si="4"/>
        <v>0.542276794</v>
      </c>
    </row>
    <row r="132" ht="15.75" customHeight="1">
      <c r="A132" s="3">
        <f>$D$2*(130)/200</f>
        <v>0.325</v>
      </c>
      <c r="B132" s="3">
        <v>0.03512738595108589</v>
      </c>
      <c r="C132" s="4">
        <v>0.02125768744031255</v>
      </c>
      <c r="F132" s="3">
        <f t="shared" si="3"/>
        <v>0.03512738595</v>
      </c>
      <c r="G132" s="3">
        <f t="shared" si="1"/>
        <v>0.75</v>
      </c>
      <c r="H132" s="3">
        <f t="shared" si="4"/>
        <v>0.5484375</v>
      </c>
    </row>
    <row r="133" ht="15.75" customHeight="1">
      <c r="A133" s="3">
        <f>$D$2*(131)/200</f>
        <v>0.3275</v>
      </c>
      <c r="B133" s="3">
        <v>0.0352657132796903</v>
      </c>
      <c r="C133" s="4">
        <v>0.02145981080036109</v>
      </c>
      <c r="F133" s="3">
        <f t="shared" si="3"/>
        <v>0.03526571328</v>
      </c>
      <c r="G133" s="3">
        <f t="shared" si="1"/>
        <v>0.7583333333</v>
      </c>
      <c r="H133" s="3">
        <f t="shared" si="4"/>
        <v>0.5544627894</v>
      </c>
    </row>
    <row r="134" ht="15.75" customHeight="1">
      <c r="A134" s="3">
        <f>$D$2*(132)/200</f>
        <v>0.33</v>
      </c>
      <c r="B134" s="3">
        <v>0.03540204432489835</v>
      </c>
      <c r="C134" s="4">
        <v>0.021663685836577556</v>
      </c>
      <c r="F134" s="3">
        <f t="shared" si="3"/>
        <v>0.03540204432</v>
      </c>
      <c r="G134" s="3">
        <f t="shared" si="1"/>
        <v>0.7666666667</v>
      </c>
      <c r="H134" s="3">
        <f t="shared" si="4"/>
        <v>0.5603481481</v>
      </c>
    </row>
    <row r="135" ht="15.75" customHeight="1">
      <c r="A135" s="3">
        <f>$D$2*(133)/200</f>
        <v>0.3325</v>
      </c>
      <c r="B135" s="3">
        <v>0.03553637934668741</v>
      </c>
      <c r="C135" s="4">
        <v>0.021869380874259253</v>
      </c>
      <c r="F135" s="3">
        <f t="shared" si="3"/>
        <v>0.03553637935</v>
      </c>
      <c r="G135" s="3">
        <f t="shared" si="1"/>
        <v>0.775</v>
      </c>
      <c r="H135" s="3">
        <f t="shared" si="4"/>
        <v>0.5660890625</v>
      </c>
    </row>
    <row r="136" ht="15.75" customHeight="1">
      <c r="A136" s="3">
        <f>$D$2*(134)/200</f>
        <v>0.335</v>
      </c>
      <c r="B136" s="3">
        <v>0.0356687186011837</v>
      </c>
      <c r="C136" s="4">
        <v>0.022076960168285153</v>
      </c>
      <c r="F136" s="3">
        <f t="shared" si="3"/>
        <v>0.0356687186</v>
      </c>
      <c r="G136" s="3">
        <f t="shared" si="1"/>
        <v>0.7833333333</v>
      </c>
      <c r="H136" s="3">
        <f t="shared" si="4"/>
        <v>0.5716810185</v>
      </c>
    </row>
    <row r="137" ht="15.75" customHeight="1">
      <c r="A137" s="3">
        <f>$D$2*(135)/200</f>
        <v>0.3375</v>
      </c>
      <c r="B137" s="3">
        <v>0.03579906234066499</v>
      </c>
      <c r="C137" s="4">
        <v>0.022286483787208256</v>
      </c>
      <c r="F137" s="3">
        <f t="shared" si="3"/>
        <v>0.03579906234</v>
      </c>
      <c r="G137" s="3">
        <f t="shared" si="1"/>
        <v>0.7916666667</v>
      </c>
      <c r="H137" s="3">
        <f t="shared" si="4"/>
        <v>0.5771195023</v>
      </c>
    </row>
    <row r="138" ht="15.75" customHeight="1">
      <c r="A138" s="3">
        <f>$D$2*(136)/200</f>
        <v>0.34</v>
      </c>
      <c r="B138" s="3">
        <v>0.0359274108135641</v>
      </c>
      <c r="C138" s="4">
        <v>0.022498007516752686</v>
      </c>
      <c r="F138" s="3">
        <f t="shared" si="3"/>
        <v>0.03592741081</v>
      </c>
      <c r="G138" s="3">
        <f t="shared" si="1"/>
        <v>0.8</v>
      </c>
      <c r="H138" s="3">
        <f t="shared" si="4"/>
        <v>0.5824</v>
      </c>
    </row>
    <row r="139" ht="15.75" customHeight="1">
      <c r="A139" s="3">
        <f>$D$2*(137)/200</f>
        <v>0.3425</v>
      </c>
      <c r="B139" s="3">
        <v>0.03605376426447071</v>
      </c>
      <c r="C139" s="4">
        <v>0.02271158278251897</v>
      </c>
      <c r="F139" s="3">
        <f t="shared" si="3"/>
        <v>0.03605376426</v>
      </c>
      <c r="G139" s="3">
        <f t="shared" si="1"/>
        <v>0.8083333333</v>
      </c>
      <c r="H139" s="3">
        <f t="shared" si="4"/>
        <v>0.5875179977</v>
      </c>
    </row>
    <row r="140" ht="15.75" customHeight="1">
      <c r="A140" s="3">
        <f>$D$2*(138)/200</f>
        <v>0.345</v>
      </c>
      <c r="B140" s="3">
        <v>0.036178122934132695</v>
      </c>
      <c r="C140" s="4">
        <v>0.022927256591605813</v>
      </c>
      <c r="F140" s="3">
        <f t="shared" si="3"/>
        <v>0.03617812293</v>
      </c>
      <c r="G140" s="3">
        <f t="shared" si="1"/>
        <v>0.8166666667</v>
      </c>
      <c r="H140" s="3">
        <f t="shared" si="4"/>
        <v>0.5924689815</v>
      </c>
    </row>
    <row r="141" ht="15.75" customHeight="1">
      <c r="A141" s="3">
        <f>$D$2*(139)/200</f>
        <v>0.3475</v>
      </c>
      <c r="B141" s="3">
        <v>0.036300487059460096</v>
      </c>
      <c r="C141" s="4">
        <v>0.023145071492766088</v>
      </c>
      <c r="F141" s="3">
        <f t="shared" si="3"/>
        <v>0.03630048706</v>
      </c>
      <c r="G141" s="3">
        <f t="shared" si="1"/>
        <v>0.825</v>
      </c>
      <c r="H141" s="3">
        <f t="shared" si="4"/>
        <v>0.5972484375</v>
      </c>
    </row>
    <row r="142" ht="15.75" customHeight="1">
      <c r="A142" s="3">
        <f>$D$2*(140)/200</f>
        <v>0.35</v>
      </c>
      <c r="B142" s="3">
        <v>0.036420856873526475</v>
      </c>
      <c r="C142" s="4">
        <v>0.023365065554630103</v>
      </c>
      <c r="F142" s="3">
        <f t="shared" si="3"/>
        <v>0.03642085687</v>
      </c>
      <c r="G142" s="3">
        <f t="shared" si="1"/>
        <v>0.8333333333</v>
      </c>
      <c r="H142" s="3">
        <f t="shared" si="4"/>
        <v>0.6018518519</v>
      </c>
    </row>
    <row r="143" ht="15.75" customHeight="1">
      <c r="A143" s="3">
        <f>$D$2*(141)/200</f>
        <v>0.3525</v>
      </c>
      <c r="B143" s="3">
        <v>0.036539232605571126</v>
      </c>
      <c r="C143" s="4">
        <v>0.023587272361449845</v>
      </c>
      <c r="F143" s="3">
        <f t="shared" si="3"/>
        <v>0.03653923261</v>
      </c>
      <c r="G143" s="3">
        <f t="shared" si="1"/>
        <v>0.8416666667</v>
      </c>
      <c r="H143" s="3">
        <f t="shared" si="4"/>
        <v>0.6062747106</v>
      </c>
    </row>
    <row r="144" ht="15.75" customHeight="1">
      <c r="A144" s="3">
        <f>$D$2*(142)/200</f>
        <v>0.355</v>
      </c>
      <c r="B144" s="3">
        <v>0.03665561448100174</v>
      </c>
      <c r="C144" s="4">
        <v>0.02381172102574538</v>
      </c>
      <c r="F144" s="3">
        <f t="shared" si="3"/>
        <v>0.03665561448</v>
      </c>
      <c r="G144" s="3">
        <f t="shared" si="1"/>
        <v>0.85</v>
      </c>
      <c r="H144" s="3">
        <f t="shared" si="4"/>
        <v>0.6105125</v>
      </c>
    </row>
    <row r="145" ht="15.75" customHeight="1">
      <c r="A145" s="3">
        <f>$D$2*(143)/200</f>
        <v>0.3575</v>
      </c>
      <c r="B145" s="3">
        <v>0.036770002721395745</v>
      </c>
      <c r="C145" s="4">
        <v>0.024038436217167346</v>
      </c>
      <c r="F145" s="3">
        <f t="shared" si="3"/>
        <v>0.03677000272</v>
      </c>
      <c r="G145" s="3">
        <f t="shared" si="1"/>
        <v>0.8583333333</v>
      </c>
      <c r="H145" s="3">
        <f t="shared" si="4"/>
        <v>0.614560706</v>
      </c>
    </row>
    <row r="146" ht="15.75" customHeight="1">
      <c r="A146" s="3">
        <f>$D$2*(144)/200</f>
        <v>0.36</v>
      </c>
      <c r="B146" s="3">
        <v>0.03688239754450384</v>
      </c>
      <c r="C146" s="4">
        <v>0.024267438206830493</v>
      </c>
      <c r="F146" s="3">
        <f t="shared" si="3"/>
        <v>0.03688239754</v>
      </c>
      <c r="G146" s="3">
        <f t="shared" si="1"/>
        <v>0.8666666667</v>
      </c>
      <c r="H146" s="3">
        <f t="shared" si="4"/>
        <v>0.6184148148</v>
      </c>
    </row>
    <row r="147" ht="15.75" customHeight="1">
      <c r="A147" s="3">
        <f>$D$2*(145)/200</f>
        <v>0.3625</v>
      </c>
      <c r="B147" s="3">
        <v>0.03699279916425002</v>
      </c>
      <c r="C147" s="4">
        <v>0.024498742926319334</v>
      </c>
      <c r="F147" s="3">
        <f t="shared" si="3"/>
        <v>0.03699279916</v>
      </c>
      <c r="G147" s="3">
        <f t="shared" si="1"/>
        <v>0.875</v>
      </c>
      <c r="H147" s="3">
        <f t="shared" si="4"/>
        <v>0.6220703125</v>
      </c>
    </row>
    <row r="148" ht="15.75" customHeight="1">
      <c r="A148" s="3">
        <f>$D$2*(146)/200</f>
        <v>0.365</v>
      </c>
      <c r="B148" s="3">
        <v>0.037101207790736</v>
      </c>
      <c r="C148" s="4">
        <v>0.024732362040521334</v>
      </c>
      <c r="F148" s="3">
        <f t="shared" si="3"/>
        <v>0.03710120779</v>
      </c>
      <c r="G148" s="3">
        <f t="shared" si="1"/>
        <v>0.8833333333</v>
      </c>
      <c r="H148" s="3">
        <f t="shared" si="4"/>
        <v>0.6255226852</v>
      </c>
    </row>
    <row r="149" ht="15.75" customHeight="1">
      <c r="A149" s="3">
        <f>$D$2*(147)/200</f>
        <v>0.3675</v>
      </c>
      <c r="B149" s="3">
        <v>0.03720762363024033</v>
      </c>
      <c r="C149" s="4">
        <v>0.02496830303340347</v>
      </c>
      <c r="F149" s="3">
        <f t="shared" si="3"/>
        <v>0.03720762363</v>
      </c>
      <c r="G149" s="3">
        <f t="shared" si="1"/>
        <v>0.8916666667</v>
      </c>
      <c r="H149" s="3">
        <f t="shared" si="4"/>
        <v>0.628767419</v>
      </c>
    </row>
    <row r="150" ht="15.75" customHeight="1">
      <c r="A150" s="3">
        <f>$D$2*(148)/200</f>
        <v>0.37</v>
      </c>
      <c r="B150" s="3">
        <v>0.03731204688522327</v>
      </c>
      <c r="C150" s="4">
        <v>0.02520656930581589</v>
      </c>
      <c r="F150" s="3">
        <f t="shared" si="3"/>
        <v>0.03731204689</v>
      </c>
      <c r="G150" s="3">
        <f t="shared" si="1"/>
        <v>0.9</v>
      </c>
      <c r="H150" s="3">
        <f t="shared" si="4"/>
        <v>0.6318</v>
      </c>
    </row>
    <row r="151" ht="15.75" customHeight="1">
      <c r="A151" s="3">
        <f>$D$2*(149)/200</f>
        <v>0.3725</v>
      </c>
      <c r="B151" s="3">
        <v>0.03741447775432727</v>
      </c>
      <c r="C151" s="4">
        <v>0.025447160284380706</v>
      </c>
      <c r="F151" s="3">
        <f t="shared" si="3"/>
        <v>0.03741447775</v>
      </c>
      <c r="G151" s="3">
        <f t="shared" si="1"/>
        <v>0.9083333333</v>
      </c>
      <c r="H151" s="3">
        <f t="shared" si="4"/>
        <v>0.6346159144</v>
      </c>
    </row>
    <row r="152" ht="15.75" customHeight="1">
      <c r="A152" s="3">
        <f>$D$2*(150)/200</f>
        <v>0.375</v>
      </c>
      <c r="B152" s="3">
        <v>0.0375149164323787</v>
      </c>
      <c r="C152" s="4">
        <v>0.025690071540505593</v>
      </c>
      <c r="F152" s="3">
        <f t="shared" si="3"/>
        <v>0.03751491643</v>
      </c>
      <c r="G152" s="3">
        <f t="shared" si="1"/>
        <v>0.9166666667</v>
      </c>
      <c r="H152" s="3">
        <f t="shared" si="4"/>
        <v>0.6372106481</v>
      </c>
    </row>
    <row r="153" ht="15.75" customHeight="1">
      <c r="A153" s="3">
        <f>$D$2*(151)/200</f>
        <v>0.3775</v>
      </c>
      <c r="B153" s="3">
        <v>0.03761336311039054</v>
      </c>
      <c r="C153" s="4">
        <v>0.025935294918549276</v>
      </c>
      <c r="F153" s="3">
        <f t="shared" si="3"/>
        <v>0.03761336311</v>
      </c>
      <c r="G153" s="3">
        <f t="shared" si="1"/>
        <v>0.925</v>
      </c>
      <c r="H153" s="3">
        <f t="shared" si="4"/>
        <v>0.6395796875</v>
      </c>
    </row>
    <row r="154" ht="15.75" customHeight="1">
      <c r="A154" s="3">
        <f>$D$2*(152)/200</f>
        <v>0.38</v>
      </c>
      <c r="B154" s="3">
        <v>0.03770981797556372</v>
      </c>
      <c r="C154" s="4">
        <v>0.026182818672160713</v>
      </c>
      <c r="F154" s="3">
        <f t="shared" si="3"/>
        <v>0.03770981798</v>
      </c>
      <c r="G154" s="3">
        <f t="shared" si="1"/>
        <v>0.9333333333</v>
      </c>
      <c r="H154" s="3">
        <f t="shared" si="4"/>
        <v>0.6417185185</v>
      </c>
    </row>
    <row r="155" ht="15.75" customHeight="1">
      <c r="A155" s="3">
        <f>$D$2*(153)/200</f>
        <v>0.3825</v>
      </c>
      <c r="B155" s="3">
        <v>0.03780428121128798</v>
      </c>
      <c r="C155" s="4">
        <v>0.02643262760781388</v>
      </c>
      <c r="F155" s="3">
        <f t="shared" si="3"/>
        <v>0.03780428121</v>
      </c>
      <c r="G155" s="3">
        <f t="shared" si="1"/>
        <v>0.9416666667</v>
      </c>
      <c r="H155" s="3">
        <f t="shared" si="4"/>
        <v>0.6436226273</v>
      </c>
    </row>
    <row r="156" ht="15.75" customHeight="1">
      <c r="A156" s="3">
        <f>$D$2*(154)/200</f>
        <v>0.385</v>
      </c>
      <c r="B156" s="3">
        <v>0.037896752997145455</v>
      </c>
      <c r="C156" s="4">
        <v>0.02668470323456651</v>
      </c>
      <c r="F156" s="3">
        <f t="shared" si="3"/>
        <v>0.037896753</v>
      </c>
      <c r="G156" s="3">
        <f t="shared" si="1"/>
        <v>0.95</v>
      </c>
      <c r="H156" s="3">
        <f t="shared" si="4"/>
        <v>0.6452875</v>
      </c>
    </row>
    <row r="157" ht="15.75" customHeight="1">
      <c r="A157" s="3">
        <f>$D$2*(155)/200</f>
        <v>0.3875</v>
      </c>
      <c r="B157" s="3">
        <v>0.03798723350891153</v>
      </c>
      <c r="C157" s="4">
        <v>0.026939023919083087</v>
      </c>
      <c r="F157" s="3">
        <f t="shared" si="3"/>
        <v>0.03798723351</v>
      </c>
      <c r="G157" s="3">
        <f t="shared" si="1"/>
        <v>0.9583333333</v>
      </c>
      <c r="H157" s="3">
        <f t="shared" si="4"/>
        <v>0.6467086227</v>
      </c>
    </row>
    <row r="158" ht="15.75" customHeight="1">
      <c r="A158" s="3">
        <f>$D$2*(156)/200</f>
        <v>0.39</v>
      </c>
      <c r="B158" s="3">
        <v>0.038075722918555766</v>
      </c>
      <c r="C158" s="4">
        <v>0.027195565044979143</v>
      </c>
      <c r="F158" s="3">
        <f t="shared" si="3"/>
        <v>0.03807572292</v>
      </c>
      <c r="G158" s="3">
        <f t="shared" si="1"/>
        <v>0.9666666667</v>
      </c>
      <c r="H158" s="3">
        <f t="shared" si="4"/>
        <v>0.6478814815</v>
      </c>
    </row>
    <row r="159" ht="15.75" customHeight="1">
      <c r="A159" s="3">
        <f>$D$2*(157)/200</f>
        <v>0.3925</v>
      </c>
      <c r="B159" s="3">
        <v>0.03816222139424452</v>
      </c>
      <c r="C159" s="4">
        <v>0.027454299175566414</v>
      </c>
      <c r="F159" s="3">
        <f t="shared" si="3"/>
        <v>0.03816222139</v>
      </c>
      <c r="G159" s="3">
        <f t="shared" si="1"/>
        <v>0.975</v>
      </c>
      <c r="H159" s="3">
        <f t="shared" si="4"/>
        <v>0.6488015625</v>
      </c>
    </row>
    <row r="160" ht="15.75" customHeight="1">
      <c r="A160" s="3">
        <f>$D$2*(158)/200</f>
        <v>0.395</v>
      </c>
      <c r="B160" s="3">
        <v>0.038246729100342325</v>
      </c>
      <c r="C160" s="4">
        <v>0.027715196219104156</v>
      </c>
      <c r="F160" s="3">
        <f t="shared" si="3"/>
        <v>0.0382467291</v>
      </c>
      <c r="G160" s="3">
        <f t="shared" si="1"/>
        <v>0.9833333333</v>
      </c>
      <c r="H160" s="3">
        <f t="shared" si="4"/>
        <v>0.6494643519</v>
      </c>
    </row>
    <row r="161" ht="15.75" customHeight="1">
      <c r="A161" s="3">
        <f>$D$2*(159)/200</f>
        <v>0.3975</v>
      </c>
      <c r="B161" s="3">
        <v>0.038329246197413624</v>
      </c>
      <c r="C161" s="4">
        <v>0.027978223595693418</v>
      </c>
      <c r="F161" s="3">
        <f t="shared" si="3"/>
        <v>0.0383292462</v>
      </c>
      <c r="G161" s="3">
        <f t="shared" si="1"/>
        <v>0.9916666667</v>
      </c>
      <c r="H161" s="3">
        <f t="shared" si="4"/>
        <v>0.6498653356</v>
      </c>
    </row>
    <row r="162" ht="15.75" customHeight="1">
      <c r="A162" s="3">
        <f>$D$2*(160)/200</f>
        <v>0.4</v>
      </c>
      <c r="B162" s="3">
        <v>0.03840977284222369</v>
      </c>
      <c r="C162" s="4">
        <v>0.02824334640498414</v>
      </c>
      <c r="F162" s="3">
        <f t="shared" si="3"/>
        <v>0.03840977284</v>
      </c>
      <c r="G162" s="3">
        <f t="shared" si="1"/>
        <v>1</v>
      </c>
      <c r="H162" s="3">
        <f t="shared" si="4"/>
        <v>0.65</v>
      </c>
    </row>
    <row r="163" ht="15.75" customHeight="1">
      <c r="A163" s="3">
        <f>$D$2*(161)/200</f>
        <v>0.4025</v>
      </c>
      <c r="B163" s="3">
        <v>0.03848830918774082</v>
      </c>
      <c r="C163" s="4">
        <v>0.028510527593903608</v>
      </c>
      <c r="F163" s="3">
        <f t="shared" si="3"/>
        <v>0.03848830919</v>
      </c>
      <c r="G163" s="3">
        <f t="shared" si="1"/>
        <v>1</v>
      </c>
      <c r="H163" s="3">
        <f t="shared" si="4"/>
        <v>0.65</v>
      </c>
    </row>
    <row r="164" ht="15.75" customHeight="1">
      <c r="A164" s="3">
        <f>$D$2*(162)/200</f>
        <v>0.405</v>
      </c>
      <c r="B164" s="3">
        <v>0.03856485538313681</v>
      </c>
      <c r="C164" s="4">
        <v>0.028779728123654296</v>
      </c>
      <c r="F164" s="3">
        <f t="shared" si="3"/>
        <v>0.03856485538</v>
      </c>
      <c r="G164" s="3">
        <f t="shared" si="1"/>
        <v>1</v>
      </c>
      <c r="H164" s="3">
        <f t="shared" si="4"/>
        <v>0.65</v>
      </c>
    </row>
    <row r="165" ht="15.75" customHeight="1">
      <c r="A165" s="3">
        <f>$D$2*(163)/200</f>
        <v>0.4075</v>
      </c>
      <c r="B165" s="3">
        <v>0.038639411573789584</v>
      </c>
      <c r="C165" s="4">
        <v>0.029050907135272464</v>
      </c>
      <c r="F165" s="3">
        <f t="shared" si="3"/>
        <v>0.03863941157</v>
      </c>
      <c r="G165" s="3">
        <f t="shared" si="1"/>
        <v>1</v>
      </c>
      <c r="H165" s="3">
        <f t="shared" si="4"/>
        <v>0.65</v>
      </c>
    </row>
    <row r="166" ht="15.75" customHeight="1">
      <c r="A166" s="3">
        <f>$D$2*(164)/200</f>
        <v>0.41</v>
      </c>
      <c r="B166" s="3">
        <v>0.03871197790128367</v>
      </c>
      <c r="C166" s="4">
        <v>0.029324022113083395</v>
      </c>
      <c r="F166" s="3">
        <f t="shared" si="3"/>
        <v>0.0387119779</v>
      </c>
      <c r="G166" s="3">
        <f t="shared" si="1"/>
        <v>1</v>
      </c>
      <c r="H166" s="3">
        <f t="shared" si="4"/>
        <v>0.65</v>
      </c>
    </row>
    <row r="167" ht="15.75" customHeight="1">
      <c r="A167" s="3">
        <f>$D$2*(165)/200</f>
        <v>0.4125</v>
      </c>
      <c r="B167" s="3">
        <v>0.03878255450341239</v>
      </c>
      <c r="C167" s="4">
        <v>0.029599029045435776</v>
      </c>
      <c r="F167" s="3">
        <f t="shared" si="3"/>
        <v>0.0387825545</v>
      </c>
      <c r="G167" s="3">
        <f t="shared" si="1"/>
        <v>1</v>
      </c>
      <c r="H167" s="3">
        <f t="shared" si="4"/>
        <v>0.65</v>
      </c>
    </row>
    <row r="168" ht="15.75" customHeight="1">
      <c r="A168" s="3">
        <f>$D$2*(166)/200</f>
        <v>0.415</v>
      </c>
      <c r="B168" s="3">
        <v>0.038851141514178344</v>
      </c>
      <c r="C168" s="4">
        <v>0.02987588258214521</v>
      </c>
      <c r="F168" s="3">
        <f t="shared" si="3"/>
        <v>0.03885114151</v>
      </c>
      <c r="G168" s="3">
        <f t="shared" si="1"/>
        <v>1</v>
      </c>
      <c r="H168" s="3">
        <f t="shared" si="4"/>
        <v>0.65</v>
      </c>
    </row>
    <row r="169" ht="15.75" customHeight="1">
      <c r="A169" s="3">
        <f>$D$2*(167)/200</f>
        <v>0.4175</v>
      </c>
      <c r="B169" s="3">
        <v>0.038917739063794254</v>
      </c>
      <c r="C169" s="4">
        <v>0.03015453618812565</v>
      </c>
      <c r="F169" s="3">
        <f t="shared" si="3"/>
        <v>0.03891773906</v>
      </c>
      <c r="G169" s="3">
        <f t="shared" si="1"/>
        <v>1</v>
      </c>
      <c r="H169" s="3">
        <f t="shared" si="4"/>
        <v>0.65</v>
      </c>
    </row>
    <row r="170" ht="15.75" customHeight="1">
      <c r="A170" s="3">
        <f>$D$2*(168)/200</f>
        <v>0.42</v>
      </c>
      <c r="B170" s="3">
        <v>0.03898234727868699</v>
      </c>
      <c r="C170" s="4">
        <v>0.030434942292735957</v>
      </c>
      <c r="F170" s="3">
        <f t="shared" si="3"/>
        <v>0.03898234728</v>
      </c>
      <c r="G170" s="3">
        <f t="shared" si="1"/>
        <v>1</v>
      </c>
      <c r="H170" s="3">
        <f t="shared" si="4"/>
        <v>0.65</v>
      </c>
    </row>
    <row r="171" ht="15.75" customHeight="1">
      <c r="A171" s="3">
        <f>$D$2*(169)/200</f>
        <v>0.4225</v>
      </c>
      <c r="B171" s="3">
        <v>0.03904496628149401</v>
      </c>
      <c r="C171" s="4">
        <v>0.030717052434418354</v>
      </c>
      <c r="F171" s="3">
        <f t="shared" si="3"/>
        <v>0.03904496628</v>
      </c>
      <c r="G171" s="3">
        <f t="shared" si="1"/>
        <v>1</v>
      </c>
      <c r="H171" s="3">
        <f t="shared" si="4"/>
        <v>0.65</v>
      </c>
    </row>
    <row r="172" ht="15.75" customHeight="1">
      <c r="A172" s="3">
        <f>$D$2*(170)/200</f>
        <v>0.425</v>
      </c>
      <c r="B172" s="3">
        <v>0.03910559619106957</v>
      </c>
      <c r="C172" s="4">
        <v>0.0310008174002539</v>
      </c>
      <c r="F172" s="3">
        <f t="shared" si="3"/>
        <v>0.03910559619</v>
      </c>
      <c r="G172" s="3">
        <f t="shared" si="1"/>
        <v>1</v>
      </c>
      <c r="H172" s="3">
        <f t="shared" si="4"/>
        <v>0.65</v>
      </c>
    </row>
    <row r="173" ht="15.75" customHeight="1">
      <c r="A173" s="3">
        <f>$D$2*(171)/200</f>
        <v>0.4275</v>
      </c>
      <c r="B173" s="3">
        <v>0.03916423712248207</v>
      </c>
      <c r="C173" s="4">
        <v>0.031286187360108755</v>
      </c>
      <c r="F173" s="3">
        <f t="shared" si="3"/>
        <v>0.03916423712</v>
      </c>
      <c r="G173" s="3">
        <f t="shared" si="1"/>
        <v>1</v>
      </c>
      <c r="H173" s="3">
        <f t="shared" si="4"/>
        <v>0.65</v>
      </c>
    </row>
    <row r="174" ht="15.75" customHeight="1">
      <c r="A174" s="3">
        <f>$D$2*(172)/200</f>
        <v>0.43</v>
      </c>
      <c r="B174" s="3">
        <v>0.03922088918701805</v>
      </c>
      <c r="C174" s="4">
        <v>0.031573111995091996</v>
      </c>
      <c r="F174" s="3">
        <f t="shared" si="3"/>
        <v>0.03922088919</v>
      </c>
      <c r="G174" s="3">
        <f t="shared" si="1"/>
        <v>1</v>
      </c>
      <c r="H174" s="3">
        <f t="shared" si="4"/>
        <v>0.65</v>
      </c>
    </row>
    <row r="175" ht="15.75" customHeight="1">
      <c r="A175" s="3">
        <f>$D$2*(173)/200</f>
        <v>0.4325</v>
      </c>
      <c r="B175" s="3">
        <v>0.03927555249217951</v>
      </c>
      <c r="C175" s="4">
        <v>0.031861540620092284</v>
      </c>
      <c r="F175" s="3">
        <f t="shared" si="3"/>
        <v>0.03927555249</v>
      </c>
      <c r="G175" s="3">
        <f t="shared" si="1"/>
        <v>1</v>
      </c>
      <c r="H175" s="3">
        <f t="shared" si="4"/>
        <v>0.65</v>
      </c>
    </row>
    <row r="176" ht="15.75" customHeight="1">
      <c r="A176" s="3">
        <f>$D$2*(174)/200</f>
        <v>0.435</v>
      </c>
      <c r="B176" s="3">
        <v>0.03932822714168971</v>
      </c>
      <c r="C176" s="4">
        <v>0.03215142230020562</v>
      </c>
      <c r="F176" s="3">
        <f t="shared" si="3"/>
        <v>0.03932822714</v>
      </c>
      <c r="G176" s="3">
        <f t="shared" si="1"/>
        <v>1</v>
      </c>
      <c r="H176" s="3">
        <f t="shared" si="4"/>
        <v>0.65</v>
      </c>
    </row>
    <row r="177" ht="15.75" customHeight="1">
      <c r="A177" s="3">
        <f>$D$2*(175)/200</f>
        <v>0.4375</v>
      </c>
      <c r="B177" s="3">
        <v>0.03937891323549003</v>
      </c>
      <c r="C177" s="4">
        <v>0.03244270596090961</v>
      </c>
      <c r="F177" s="3">
        <f t="shared" si="3"/>
        <v>0.03937891324</v>
      </c>
      <c r="G177" s="3">
        <f t="shared" si="1"/>
        <v>1</v>
      </c>
      <c r="H177" s="3">
        <f t="shared" si="4"/>
        <v>0.65</v>
      </c>
    </row>
    <row r="178" ht="15.75" customHeight="1">
      <c r="A178" s="3">
        <f>$D$2*(176)/200</f>
        <v>0.44</v>
      </c>
      <c r="B178" s="3">
        <v>0.03942761086974311</v>
      </c>
      <c r="C178" s="4">
        <v>0.032735340491881204</v>
      </c>
      <c r="F178" s="3">
        <f t="shared" si="3"/>
        <v>0.03942761087</v>
      </c>
      <c r="G178" s="3">
        <f t="shared" si="1"/>
        <v>1</v>
      </c>
      <c r="H178" s="3">
        <f t="shared" si="4"/>
        <v>0.65</v>
      </c>
    </row>
    <row r="179" ht="15.75" customHeight="1">
      <c r="A179" s="3">
        <f>$D$2*(177)/200</f>
        <v>0.4425</v>
      </c>
      <c r="B179" s="3">
        <v>0.03947432013683372</v>
      </c>
      <c r="C179" s="4">
        <v>0.03302927484439478</v>
      </c>
      <c r="F179" s="3">
        <f t="shared" si="3"/>
        <v>0.03947432014</v>
      </c>
      <c r="G179" s="3">
        <f t="shared" si="1"/>
        <v>1</v>
      </c>
      <c r="H179" s="3">
        <f t="shared" si="4"/>
        <v>0.65</v>
      </c>
    </row>
    <row r="180" ht="15.75" customHeight="1">
      <c r="A180" s="3">
        <f>$D$2*(178)/200</f>
        <v>0.445</v>
      </c>
      <c r="B180" s="3">
        <v>0.03951904112536786</v>
      </c>
      <c r="C180" s="4">
        <v>0.03332445812227463</v>
      </c>
      <c r="F180" s="3">
        <f t="shared" si="3"/>
        <v>0.03951904113</v>
      </c>
      <c r="G180" s="3">
        <f t="shared" si="1"/>
        <v>1</v>
      </c>
      <c r="H180" s="3">
        <f t="shared" si="4"/>
        <v>0.65</v>
      </c>
    </row>
    <row r="181" ht="15.75" customHeight="1">
      <c r="A181" s="3">
        <f>$D$2*(179)/200</f>
        <v>0.4475</v>
      </c>
      <c r="B181" s="3">
        <v>0.03956177392017546</v>
      </c>
      <c r="C181" s="4">
        <v>0.03362083966641129</v>
      </c>
      <c r="F181" s="3">
        <f t="shared" si="3"/>
        <v>0.03956177392</v>
      </c>
      <c r="G181" s="3">
        <f t="shared" si="1"/>
        <v>1</v>
      </c>
      <c r="H181" s="3">
        <f t="shared" si="4"/>
        <v>0.65</v>
      </c>
    </row>
    <row r="182" ht="15.75" customHeight="1">
      <c r="A182" s="3">
        <f>$D$2*(180)/200</f>
        <v>0.45</v>
      </c>
      <c r="B182" s="3">
        <v>0.039602518602311676</v>
      </c>
      <c r="C182" s="4">
        <v>0.033918369132884395</v>
      </c>
      <c r="F182" s="3">
        <f t="shared" si="3"/>
        <v>0.0396025186</v>
      </c>
      <c r="G182" s="3">
        <f t="shared" si="1"/>
        <v>1</v>
      </c>
      <c r="H182" s="3">
        <f t="shared" si="4"/>
        <v>0.65</v>
      </c>
    </row>
    <row r="183" ht="15.75" customHeight="1">
      <c r="A183" s="3">
        <f>$D$2*(181)/200</f>
        <v>0.4525</v>
      </c>
      <c r="B183" s="3">
        <v>0.0396412752490547</v>
      </c>
      <c r="C183" s="4">
        <v>0.034216996564765026</v>
      </c>
      <c r="F183" s="3">
        <f t="shared" si="3"/>
        <v>0.03964127525</v>
      </c>
      <c r="G183" s="3">
        <f t="shared" si="1"/>
        <v>1</v>
      </c>
      <c r="H183" s="3">
        <f t="shared" si="4"/>
        <v>0.65</v>
      </c>
    </row>
    <row r="184" ht="15.75" customHeight="1">
      <c r="A184" s="3">
        <f>$D$2*(182)/200</f>
        <v>0.455</v>
      </c>
      <c r="B184" s="3">
        <v>0.039678043933909724</v>
      </c>
      <c r="C184" s="4">
        <v>0.03451667245769884</v>
      </c>
      <c r="F184" s="3">
        <f t="shared" si="3"/>
        <v>0.03967804393</v>
      </c>
      <c r="G184" s="3">
        <f t="shared" si="1"/>
        <v>1</v>
      </c>
      <c r="H184" s="3">
        <f t="shared" si="4"/>
        <v>0.65</v>
      </c>
    </row>
    <row r="185" ht="15.75" customHeight="1">
      <c r="A185" s="3">
        <f>$D$2*(183)/200</f>
        <v>0.4575</v>
      </c>
      <c r="B185" s="3">
        <v>0.03971282472660809</v>
      </c>
      <c r="C185" s="4">
        <v>0.03481734781939703</v>
      </c>
      <c r="F185" s="3">
        <f t="shared" si="3"/>
        <v>0.03971282473</v>
      </c>
      <c r="G185" s="3">
        <f t="shared" si="1"/>
        <v>1</v>
      </c>
      <c r="H185" s="3">
        <f t="shared" si="4"/>
        <v>0.65</v>
      </c>
    </row>
    <row r="186" ht="15.75" customHeight="1">
      <c r="A186" s="3">
        <f>$D$2*(184)/200</f>
        <v>0.46</v>
      </c>
      <c r="B186" s="3">
        <v>0.039745617693106805</v>
      </c>
      <c r="C186" s="4">
        <v>0.03511897422318542</v>
      </c>
      <c r="F186" s="3">
        <f t="shared" si="3"/>
        <v>0.03974561769</v>
      </c>
      <c r="G186" s="3">
        <f t="shared" si="1"/>
        <v>1</v>
      </c>
      <c r="H186" s="3">
        <f t="shared" si="4"/>
        <v>0.65</v>
      </c>
    </row>
    <row r="187" ht="15.75" customHeight="1">
      <c r="A187" s="3">
        <f>$D$2*(185)/200</f>
        <v>0.4625</v>
      </c>
      <c r="B187" s="3">
        <v>0.03977642289559302</v>
      </c>
      <c r="C187" s="4">
        <v>0.035421503855782556</v>
      </c>
      <c r="F187" s="3">
        <f t="shared" si="3"/>
        <v>0.0397764229</v>
      </c>
      <c r="G187" s="3">
        <f t="shared" si="1"/>
        <v>1</v>
      </c>
      <c r="H187" s="3">
        <f t="shared" si="4"/>
        <v>0.65</v>
      </c>
    </row>
    <row r="188" ht="15.75" customHeight="1">
      <c r="A188" s="3">
        <f>$D$2*(186)/200</f>
        <v>0.465</v>
      </c>
      <c r="B188" s="3">
        <v>0.03980524039247957</v>
      </c>
      <c r="C188" s="4">
        <v>0.035724889559496396</v>
      </c>
      <c r="F188" s="3">
        <f t="shared" si="3"/>
        <v>0.03980524039</v>
      </c>
      <c r="G188" s="3">
        <f t="shared" si="1"/>
        <v>1</v>
      </c>
      <c r="H188" s="3">
        <f t="shared" si="4"/>
        <v>0.65</v>
      </c>
    </row>
    <row r="189" ht="15.75" customHeight="1">
      <c r="A189" s="3">
        <f>$D$2*(187)/200</f>
        <v>0.4675</v>
      </c>
      <c r="B189" s="3">
        <v>0.039832070238409845</v>
      </c>
      <c r="C189" s="4">
        <v>0.03602908486904471</v>
      </c>
      <c r="F189" s="3">
        <f t="shared" si="3"/>
        <v>0.03983207024</v>
      </c>
      <c r="G189" s="3">
        <f t="shared" si="1"/>
        <v>1</v>
      </c>
      <c r="H189" s="3">
        <f t="shared" si="4"/>
        <v>0.65</v>
      </c>
    </row>
    <row r="190" ht="15.75" customHeight="1">
      <c r="A190" s="3">
        <f>$D$2*(188)/200</f>
        <v>0.47</v>
      </c>
      <c r="B190" s="3">
        <v>0.03985691248425516</v>
      </c>
      <c r="C190" s="4">
        <v>0.036334044043218314</v>
      </c>
      <c r="F190" s="3">
        <f t="shared" si="3"/>
        <v>0.03985691248</v>
      </c>
      <c r="G190" s="3">
        <f t="shared" si="1"/>
        <v>1</v>
      </c>
      <c r="H190" s="3">
        <f t="shared" si="4"/>
        <v>0.65</v>
      </c>
    </row>
    <row r="191" ht="15.75" customHeight="1">
      <c r="A191" s="3">
        <f>$D$2*(189)/200</f>
        <v>0.4725</v>
      </c>
      <c r="B191" s="3">
        <v>0.03987976717711739</v>
      </c>
      <c r="C191" s="4">
        <v>0.03663972209161751</v>
      </c>
      <c r="F191" s="3">
        <f t="shared" si="3"/>
        <v>0.03987976718</v>
      </c>
      <c r="G191" s="3">
        <f t="shared" si="1"/>
        <v>1</v>
      </c>
      <c r="H191" s="3">
        <f t="shared" si="4"/>
        <v>0.65</v>
      </c>
    </row>
    <row r="192" ht="15.75" customHeight="1">
      <c r="A192" s="3">
        <f>$D$2*(190)/200</f>
        <v>0.475</v>
      </c>
      <c r="B192" s="3">
        <v>0.03990063436032942</v>
      </c>
      <c r="C192" s="4">
        <v>0.03694607479670088</v>
      </c>
      <c r="F192" s="3">
        <f t="shared" si="3"/>
        <v>0.03990063436</v>
      </c>
      <c r="G192" s="3">
        <f t="shared" si="1"/>
        <v>1</v>
      </c>
      <c r="H192" s="3">
        <f t="shared" si="4"/>
        <v>0.65</v>
      </c>
    </row>
    <row r="193" ht="15.75" customHeight="1">
      <c r="A193" s="3">
        <f>$D$2*(191)/200</f>
        <v>0.4775</v>
      </c>
      <c r="B193" s="3">
        <v>0.03991951407345251</v>
      </c>
      <c r="C193" s="4">
        <v>0.037253058731393604</v>
      </c>
      <c r="F193" s="3">
        <f t="shared" si="3"/>
        <v>0.03991951407</v>
      </c>
      <c r="G193" s="3">
        <f t="shared" si="1"/>
        <v>1</v>
      </c>
      <c r="H193" s="3">
        <f t="shared" si="4"/>
        <v>0.65</v>
      </c>
    </row>
    <row r="194" ht="15.75" customHeight="1">
      <c r="A194" s="3">
        <f>$D$2*(192)/200</f>
        <v>0.48</v>
      </c>
      <c r="B194" s="3">
        <v>0.03993640635228113</v>
      </c>
      <c r="C194" s="4">
        <v>0.03756063127250659</v>
      </c>
      <c r="F194" s="3">
        <f t="shared" si="3"/>
        <v>0.03993640635</v>
      </c>
      <c r="G194" s="3">
        <f t="shared" si="1"/>
        <v>1</v>
      </c>
      <c r="H194" s="3">
        <f t="shared" si="4"/>
        <v>0.65</v>
      </c>
    </row>
    <row r="195" ht="15.75" customHeight="1">
      <c r="A195" s="3">
        <f>$D$2*(193)/200</f>
        <v>0.4825</v>
      </c>
      <c r="B195" s="3">
        <v>0.039951311228840325</v>
      </c>
      <c r="C195" s="4">
        <v>0.03786875061022162</v>
      </c>
      <c r="F195" s="3">
        <f t="shared" si="3"/>
        <v>0.03995131123</v>
      </c>
      <c r="G195" s="3">
        <f t="shared" si="1"/>
        <v>1</v>
      </c>
      <c r="H195" s="3">
        <f t="shared" si="4"/>
        <v>0.65</v>
      </c>
    </row>
    <row r="196" ht="15.75" customHeight="1">
      <c r="A196" s="3">
        <f>$D$2*(194)/200</f>
        <v>0.485</v>
      </c>
      <c r="B196" s="3">
        <v>0.03996422873138572</v>
      </c>
      <c r="C196" s="4">
        <v>0.03817737575389905</v>
      </c>
      <c r="F196" s="3">
        <f t="shared" si="3"/>
        <v>0.03996422873</v>
      </c>
      <c r="G196" s="3">
        <f t="shared" si="1"/>
        <v>1</v>
      </c>
      <c r="H196" s="3">
        <f t="shared" si="4"/>
        <v>0.65</v>
      </c>
    </row>
    <row r="197" ht="15.75" customHeight="1">
      <c r="A197" s="3">
        <f>$D$2*(195)/200</f>
        <v>0.4875</v>
      </c>
      <c r="B197" s="3">
        <v>0.03997515888440706</v>
      </c>
      <c r="C197" s="4">
        <v>0.038486466534464206</v>
      </c>
      <c r="F197" s="3">
        <f t="shared" si="3"/>
        <v>0.03997515888</v>
      </c>
      <c r="G197" s="3">
        <f t="shared" si="1"/>
        <v>1</v>
      </c>
      <c r="H197" s="3">
        <f t="shared" si="4"/>
        <v>0.65</v>
      </c>
    </row>
    <row r="198" ht="15.75" customHeight="1">
      <c r="A198" s="3">
        <f>$D$2*(196)/200</f>
        <v>0.49</v>
      </c>
      <c r="B198" s="3">
        <v>0.03998410170862421</v>
      </c>
      <c r="C198" s="4">
        <v>0.0387959836036275</v>
      </c>
      <c r="F198" s="3">
        <f t="shared" si="3"/>
        <v>0.03998410171</v>
      </c>
      <c r="G198" s="3">
        <f t="shared" si="1"/>
        <v>1</v>
      </c>
      <c r="H198" s="3">
        <f t="shared" si="4"/>
        <v>0.65</v>
      </c>
    </row>
    <row r="199" ht="15.75" customHeight="1">
      <c r="A199" s="3">
        <f>$D$2*(197)/200</f>
        <v>0.4925</v>
      </c>
      <c r="B199" s="3">
        <v>0.03999105722099028</v>
      </c>
      <c r="C199" s="4">
        <v>0.03910588843018976</v>
      </c>
      <c r="F199" s="3">
        <f t="shared" si="3"/>
        <v>0.03999105722</v>
      </c>
      <c r="G199" s="3">
        <f t="shared" si="1"/>
        <v>1</v>
      </c>
      <c r="H199" s="3">
        <f t="shared" si="4"/>
        <v>0.65</v>
      </c>
    </row>
    <row r="200" ht="15.75" customHeight="1">
      <c r="A200" s="3">
        <f>$D$2*(198)/200</f>
        <v>0.495</v>
      </c>
      <c r="B200" s="3">
        <v>0.039996025434690274</v>
      </c>
      <c r="C200" s="4">
        <v>0.03941614329368014</v>
      </c>
      <c r="F200" s="3">
        <f t="shared" si="3"/>
        <v>0.03999602543</v>
      </c>
      <c r="G200" s="3">
        <f t="shared" si="1"/>
        <v>1</v>
      </c>
      <c r="H200" s="3">
        <f t="shared" si="4"/>
        <v>0.65</v>
      </c>
    </row>
    <row r="201" ht="15.75" customHeight="1">
      <c r="A201" s="3">
        <f>$D$2*(199)/200</f>
        <v>0.4975</v>
      </c>
      <c r="B201" s="3">
        <v>0.039999006359143774</v>
      </c>
      <c r="C201" s="4">
        <v>0.039726711275568795</v>
      </c>
      <c r="F201" s="3">
        <f t="shared" si="3"/>
        <v>0.03999900636</v>
      </c>
      <c r="G201" s="3">
        <f t="shared" si="1"/>
        <v>1</v>
      </c>
      <c r="H201" s="3">
        <f t="shared" si="4"/>
        <v>0.65</v>
      </c>
    </row>
    <row r="202" ht="15.75" customHeight="1">
      <c r="A202" s="3">
        <f>$D$2*(200)/200</f>
        <v>0.5</v>
      </c>
      <c r="B202" s="3">
        <v>0.040000000000000036</v>
      </c>
      <c r="C202" s="4">
        <v>0.04</v>
      </c>
      <c r="F202" s="3">
        <f t="shared" si="3"/>
        <v>0.04</v>
      </c>
      <c r="G202" s="3">
        <f t="shared" si="1"/>
        <v>1</v>
      </c>
      <c r="H202" s="3">
        <f t="shared" si="4"/>
        <v>0.65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2.0"/>
    <col customWidth="1" min="4" max="22" width="8.71"/>
  </cols>
  <sheetData>
    <row r="1">
      <c r="A1" s="1" t="s">
        <v>8</v>
      </c>
    </row>
    <row r="2">
      <c r="A2" s="1" t="s">
        <v>9</v>
      </c>
      <c r="B2" s="1" t="s">
        <v>10</v>
      </c>
    </row>
    <row r="3">
      <c r="A3" s="3" t="s">
        <v>3</v>
      </c>
      <c r="B3" s="3">
        <v>0.5</v>
      </c>
    </row>
    <row r="4">
      <c r="A4" s="3" t="s">
        <v>11</v>
      </c>
      <c r="B4" s="3">
        <v>0.08</v>
      </c>
    </row>
    <row r="5">
      <c r="A5" s="3" t="s">
        <v>12</v>
      </c>
      <c r="B5" s="3">
        <f>$B$4/2</f>
        <v>0.04</v>
      </c>
    </row>
    <row r="6">
      <c r="A6" s="3" t="s">
        <v>4</v>
      </c>
      <c r="B6" s="3">
        <v>0.65</v>
      </c>
    </row>
    <row r="7">
      <c r="A7" s="3" t="s">
        <v>13</v>
      </c>
      <c r="B7" s="2">
        <v>0.1</v>
      </c>
    </row>
    <row r="8">
      <c r="A8" s="3" t="s">
        <v>14</v>
      </c>
      <c r="B8" s="3">
        <v>0.45</v>
      </c>
    </row>
    <row r="9">
      <c r="A9" s="3" t="s">
        <v>15</v>
      </c>
      <c r="B9" s="3">
        <v>0.18</v>
      </c>
    </row>
    <row r="10">
      <c r="A10" s="1" t="s">
        <v>0</v>
      </c>
      <c r="B10" s="1" t="s">
        <v>16</v>
      </c>
      <c r="C10" s="1" t="s">
        <v>17</v>
      </c>
    </row>
    <row r="11">
      <c r="A11" s="3">
        <f>$B$3*(ROW()-11)/(201-1)
</f>
        <v>0</v>
      </c>
      <c r="B11" s="3">
        <f>SQRT( MAX( ((($B$5^2+$B$3^2)/(2*$B$5))^2) - ($B$3-A11)^2 , 0) )
 - ((($B$5^2+$B$3^2)/(2*$B$5)) - $B$5)
</f>
        <v>0</v>
      </c>
      <c r="C11" s="3">
        <f t="shared" ref="C11:C211" si="1">MIN($B$5,
     $B$5*(1-COS(PI()*A11/(2*$B$3))) +
     ($B$7*$B$5)*EXP(-0.5*((A11/$B$3-$B$8)/$B$9)^2)
)
</f>
        <v>0.0001757477345</v>
      </c>
    </row>
    <row r="12">
      <c r="A12" s="3">
        <f>$B$3*1/200</f>
        <v>0.0025</v>
      </c>
      <c r="B12" s="3">
        <f t="shared" ref="B12:B211" si="2">SQRT(MAX((($B$5^2+$B$3^2)/(2*$B$5))^2-($B$3-A12)^2,0))-((($B$5^2+$B$3^2)/(2*$B$5))-$B$5)</f>
        <v>0.0004015440841</v>
      </c>
      <c r="C12" s="3">
        <f t="shared" si="1"/>
        <v>0.0001895472234</v>
      </c>
    </row>
    <row r="13">
      <c r="A13" s="3">
        <f>$B$3*2/200</f>
        <v>0.005</v>
      </c>
      <c r="B13" s="3">
        <f t="shared" si="2"/>
        <v>0.0008010238906</v>
      </c>
      <c r="C13" s="3">
        <f t="shared" si="1"/>
        <v>0.0002065568342</v>
      </c>
    </row>
    <row r="14">
      <c r="A14" s="3">
        <f>$B$3*3/200</f>
        <v>0.0075</v>
      </c>
      <c r="B14" s="3">
        <f t="shared" si="2"/>
        <v>0.001198440216</v>
      </c>
      <c r="C14" s="3">
        <f t="shared" si="1"/>
        <v>0.0002268075794</v>
      </c>
    </row>
    <row r="15">
      <c r="A15" s="3">
        <f>$B$3*4/200</f>
        <v>0.01</v>
      </c>
      <c r="B15" s="3">
        <f t="shared" si="2"/>
        <v>0.001593793852</v>
      </c>
      <c r="C15" s="3">
        <f t="shared" si="1"/>
        <v>0.0002503306607</v>
      </c>
    </row>
    <row r="16">
      <c r="A16" s="3">
        <f>$B$3*5/200</f>
        <v>0.0125</v>
      </c>
      <c r="B16" s="3">
        <f t="shared" si="2"/>
        <v>0.001987085586</v>
      </c>
      <c r="C16" s="3">
        <f t="shared" si="1"/>
        <v>0.0002771573919</v>
      </c>
    </row>
    <row r="17">
      <c r="A17" s="3">
        <f>$B$3*6/200</f>
        <v>0.015</v>
      </c>
      <c r="B17" s="3">
        <f t="shared" si="2"/>
        <v>0.002378316202</v>
      </c>
      <c r="C17" s="3">
        <f t="shared" si="1"/>
        <v>0.000307319116</v>
      </c>
    </row>
    <row r="18">
      <c r="A18" s="3">
        <f>$B$3*7/200</f>
        <v>0.0175</v>
      </c>
      <c r="B18" s="3">
        <f t="shared" si="2"/>
        <v>0.002767486476</v>
      </c>
      <c r="C18" s="3">
        <f t="shared" si="1"/>
        <v>0.0003408471149</v>
      </c>
    </row>
    <row r="19">
      <c r="A19" s="3">
        <f>$B$3*8/200</f>
        <v>0.02</v>
      </c>
      <c r="B19" s="3">
        <f t="shared" si="2"/>
        <v>0.003154597185</v>
      </c>
      <c r="C19" s="3">
        <f t="shared" si="1"/>
        <v>0.0003777725138</v>
      </c>
    </row>
    <row r="20">
      <c r="A20" s="3">
        <f>$B$3*9/200</f>
        <v>0.0225</v>
      </c>
      <c r="B20" s="3">
        <f t="shared" si="2"/>
        <v>0.003539649096</v>
      </c>
      <c r="C20" s="3">
        <f t="shared" si="1"/>
        <v>0.0004181261782</v>
      </c>
    </row>
    <row r="21" ht="15.75" customHeight="1">
      <c r="A21" s="3">
        <f>$B$3*10/200</f>
        <v>0.025</v>
      </c>
      <c r="B21" s="3">
        <f t="shared" si="2"/>
        <v>0.003922642975</v>
      </c>
      <c r="C21" s="3">
        <f t="shared" si="1"/>
        <v>0.0004619386052</v>
      </c>
    </row>
    <row r="22" ht="15.75" customHeight="1">
      <c r="A22" s="3">
        <f>$B$3*11/200</f>
        <v>0.0275</v>
      </c>
      <c r="B22" s="3">
        <f t="shared" si="2"/>
        <v>0.004303579582</v>
      </c>
      <c r="C22" s="3">
        <f t="shared" si="1"/>
        <v>0.000509239808</v>
      </c>
    </row>
    <row r="23" ht="15.75" customHeight="1">
      <c r="A23" s="3">
        <f>$B$3*12/200</f>
        <v>0.03</v>
      </c>
      <c r="B23" s="3">
        <f t="shared" si="2"/>
        <v>0.004682459673</v>
      </c>
      <c r="C23" s="3">
        <f t="shared" si="1"/>
        <v>0.0005600591952</v>
      </c>
    </row>
    <row r="24" ht="15.75" customHeight="1">
      <c r="A24" s="3">
        <f>$B$3*13/200</f>
        <v>0.0325</v>
      </c>
      <c r="B24" s="3">
        <f t="shared" si="2"/>
        <v>0.005059284001</v>
      </c>
      <c r="C24" s="3">
        <f t="shared" si="1"/>
        <v>0.000614425443</v>
      </c>
    </row>
    <row r="25" ht="15.75" customHeight="1">
      <c r="A25" s="3">
        <f>$B$3*14/200</f>
        <v>0.035</v>
      </c>
      <c r="B25" s="3">
        <f t="shared" si="2"/>
        <v>0.005434053312</v>
      </c>
      <c r="C25" s="3">
        <f t="shared" si="1"/>
        <v>0.0006723663626</v>
      </c>
    </row>
    <row r="26" ht="15.75" customHeight="1">
      <c r="A26" s="3">
        <f>$B$3*15/200</f>
        <v>0.0375</v>
      </c>
      <c r="B26" s="3">
        <f t="shared" si="2"/>
        <v>0.005806768348</v>
      </c>
      <c r="C26" s="3">
        <f t="shared" si="1"/>
        <v>0.0007339087618</v>
      </c>
    </row>
    <row r="27" ht="15.75" customHeight="1">
      <c r="A27" s="3">
        <f>$B$3*16/200</f>
        <v>0.04</v>
      </c>
      <c r="B27" s="3">
        <f t="shared" si="2"/>
        <v>0.006177429849</v>
      </c>
      <c r="C27" s="3">
        <f t="shared" si="1"/>
        <v>0.0007990783021</v>
      </c>
    </row>
    <row r="28" ht="15.75" customHeight="1">
      <c r="A28" s="3">
        <f>$B$3*17/200</f>
        <v>0.0425</v>
      </c>
      <c r="B28" s="3">
        <f t="shared" si="2"/>
        <v>0.006546038547</v>
      </c>
      <c r="C28" s="3">
        <f t="shared" si="1"/>
        <v>0.0008678993497</v>
      </c>
    </row>
    <row r="29" ht="15.75" customHeight="1">
      <c r="A29" s="3">
        <f>$B$3*18/200</f>
        <v>0.045</v>
      </c>
      <c r="B29" s="3">
        <f t="shared" si="2"/>
        <v>0.006912595174</v>
      </c>
      <c r="C29" s="3">
        <f t="shared" si="1"/>
        <v>0.0009403948243</v>
      </c>
    </row>
    <row r="30" ht="15.75" customHeight="1">
      <c r="A30" s="3">
        <f>$B$3*19/200</f>
        <v>0.0475</v>
      </c>
      <c r="B30" s="3">
        <f t="shared" si="2"/>
        <v>0.007277100452</v>
      </c>
      <c r="C30" s="3">
        <f t="shared" si="1"/>
        <v>0.001016586042</v>
      </c>
    </row>
    <row r="31" ht="15.75" customHeight="1">
      <c r="A31" s="3">
        <f>$B$3*20/200</f>
        <v>0.05</v>
      </c>
      <c r="B31" s="3">
        <f t="shared" si="2"/>
        <v>0.007639555104</v>
      </c>
      <c r="C31" s="3">
        <f t="shared" si="1"/>
        <v>0.001096492556</v>
      </c>
    </row>
    <row r="32" ht="15.75" customHeight="1">
      <c r="A32" s="3">
        <f>$B$3*21/200</f>
        <v>0.0525</v>
      </c>
      <c r="B32" s="3">
        <f t="shared" si="2"/>
        <v>0.007999959846</v>
      </c>
      <c r="C32" s="3">
        <f t="shared" si="1"/>
        <v>0.001180131996</v>
      </c>
    </row>
    <row r="33" ht="15.75" customHeight="1">
      <c r="A33" s="3">
        <f>$B$3*22/200</f>
        <v>0.055</v>
      </c>
      <c r="B33" s="3">
        <f t="shared" si="2"/>
        <v>0.008358315389</v>
      </c>
      <c r="C33" s="3">
        <f t="shared" si="1"/>
        <v>0.001267519901</v>
      </c>
    </row>
    <row r="34" ht="15.75" customHeight="1">
      <c r="A34" s="3">
        <f>$B$3*23/200</f>
        <v>0.0575</v>
      </c>
      <c r="B34" s="3">
        <f t="shared" si="2"/>
        <v>0.008714622441</v>
      </c>
      <c r="C34" s="3">
        <f t="shared" si="1"/>
        <v>0.001358669556</v>
      </c>
    </row>
    <row r="35" ht="15.75" customHeight="1">
      <c r="A35" s="3">
        <f>$B$3*24/200</f>
        <v>0.06</v>
      </c>
      <c r="B35" s="3">
        <f t="shared" si="2"/>
        <v>0.009068881704</v>
      </c>
      <c r="C35" s="3">
        <f t="shared" si="1"/>
        <v>0.001453591826</v>
      </c>
    </row>
    <row r="36" ht="15.75" customHeight="1">
      <c r="A36" s="3">
        <f>$B$3*25/200</f>
        <v>0.0625</v>
      </c>
      <c r="B36" s="3">
        <f t="shared" si="2"/>
        <v>0.009421093879</v>
      </c>
      <c r="C36" s="3">
        <f t="shared" si="1"/>
        <v>0.001552294986</v>
      </c>
    </row>
    <row r="37" ht="15.75" customHeight="1">
      <c r="A37" s="3">
        <f>$B$3*26/200</f>
        <v>0.065</v>
      </c>
      <c r="B37" s="3">
        <f t="shared" si="2"/>
        <v>0.009771259659</v>
      </c>
      <c r="C37" s="3">
        <f t="shared" si="1"/>
        <v>0.001654784561</v>
      </c>
    </row>
    <row r="38" ht="15.75" customHeight="1">
      <c r="A38" s="3">
        <f>$B$3*27/200</f>
        <v>0.0675</v>
      </c>
      <c r="B38" s="3">
        <f t="shared" si="2"/>
        <v>0.01011937973</v>
      </c>
      <c r="C38" s="3">
        <f t="shared" si="1"/>
        <v>0.001761063157</v>
      </c>
    </row>
    <row r="39" ht="15.75" customHeight="1">
      <c r="A39" s="3">
        <f>$B$3*28/200</f>
        <v>0.07</v>
      </c>
      <c r="B39" s="3">
        <f t="shared" si="2"/>
        <v>0.01046545479</v>
      </c>
      <c r="C39" s="3">
        <f t="shared" si="1"/>
        <v>0.001871130302</v>
      </c>
    </row>
    <row r="40" ht="15.75" customHeight="1">
      <c r="A40" s="3">
        <f>$B$3*29/200</f>
        <v>0.0725</v>
      </c>
      <c r="B40" s="3">
        <f t="shared" si="2"/>
        <v>0.01080948551</v>
      </c>
      <c r="C40" s="3">
        <f t="shared" si="1"/>
        <v>0.001984982289</v>
      </c>
    </row>
    <row r="41" ht="15.75" customHeight="1">
      <c r="A41" s="3">
        <f>$B$3*30/200</f>
        <v>0.075</v>
      </c>
      <c r="B41" s="3">
        <f t="shared" si="2"/>
        <v>0.01115147257</v>
      </c>
      <c r="C41" s="3">
        <f t="shared" si="1"/>
        <v>0.002102612019</v>
      </c>
    </row>
    <row r="42" ht="15.75" customHeight="1">
      <c r="A42" s="3">
        <f>$B$3*31/200</f>
        <v>0.0775</v>
      </c>
      <c r="B42" s="3">
        <f t="shared" si="2"/>
        <v>0.01149141664</v>
      </c>
      <c r="C42" s="3">
        <f t="shared" si="1"/>
        <v>0.002224008857</v>
      </c>
    </row>
    <row r="43" ht="15.75" customHeight="1">
      <c r="A43" s="3">
        <f>$B$3*32/200</f>
        <v>0.08</v>
      </c>
      <c r="B43" s="3">
        <f t="shared" si="2"/>
        <v>0.01182931839</v>
      </c>
      <c r="C43" s="3">
        <f t="shared" si="1"/>
        <v>0.002349158486</v>
      </c>
    </row>
    <row r="44" ht="15.75" customHeight="1">
      <c r="A44" s="3">
        <f>$B$3*33/200</f>
        <v>0.0825</v>
      </c>
      <c r="B44" s="3">
        <f t="shared" si="2"/>
        <v>0.01216517849</v>
      </c>
      <c r="C44" s="3">
        <f t="shared" si="1"/>
        <v>0.002478042774</v>
      </c>
    </row>
    <row r="45" ht="15.75" customHeight="1">
      <c r="A45" s="3">
        <f>$B$3*34/200</f>
        <v>0.085</v>
      </c>
      <c r="B45" s="3">
        <f t="shared" si="2"/>
        <v>0.01249899759</v>
      </c>
      <c r="C45" s="3">
        <f t="shared" si="1"/>
        <v>0.002610639646</v>
      </c>
    </row>
    <row r="46" ht="15.75" customHeight="1">
      <c r="A46" s="3">
        <f>$B$3*35/200</f>
        <v>0.0875</v>
      </c>
      <c r="B46" s="3">
        <f t="shared" si="2"/>
        <v>0.01283077636</v>
      </c>
      <c r="C46" s="3">
        <f t="shared" si="1"/>
        <v>0.00274692297</v>
      </c>
    </row>
    <row r="47" ht="15.75" customHeight="1">
      <c r="A47" s="3">
        <f>$B$3*36/200</f>
        <v>0.09</v>
      </c>
      <c r="B47" s="3">
        <f t="shared" si="2"/>
        <v>0.01316051543</v>
      </c>
      <c r="C47" s="3">
        <f t="shared" si="1"/>
        <v>0.002886862442</v>
      </c>
    </row>
    <row r="48" ht="15.75" customHeight="1">
      <c r="A48" s="3">
        <f>$B$3*37/200</f>
        <v>0.0925</v>
      </c>
      <c r="B48" s="3">
        <f t="shared" si="2"/>
        <v>0.01348821547</v>
      </c>
      <c r="C48" s="3">
        <f t="shared" si="1"/>
        <v>0.003030423499</v>
      </c>
    </row>
    <row r="49" ht="15.75" customHeight="1">
      <c r="A49" s="3">
        <f>$B$3*38/200</f>
        <v>0.095</v>
      </c>
      <c r="B49" s="3">
        <f t="shared" si="2"/>
        <v>0.0138138771</v>
      </c>
      <c r="C49" s="3">
        <f t="shared" si="1"/>
        <v>0.003177567228</v>
      </c>
    </row>
    <row r="50" ht="15.75" customHeight="1">
      <c r="A50" s="3">
        <f>$B$3*39/200</f>
        <v>0.0975</v>
      </c>
      <c r="B50" s="3">
        <f t="shared" si="2"/>
        <v>0.01413750098</v>
      </c>
      <c r="C50" s="3">
        <f t="shared" si="1"/>
        <v>0.003328250296</v>
      </c>
    </row>
    <row r="51" ht="15.75" customHeight="1">
      <c r="A51" s="3">
        <f>$B$3*40/200</f>
        <v>0.1</v>
      </c>
      <c r="B51" s="3">
        <f t="shared" si="2"/>
        <v>0.01445908773</v>
      </c>
      <c r="C51" s="3">
        <f t="shared" si="1"/>
        <v>0.003482424892</v>
      </c>
    </row>
    <row r="52" ht="15.75" customHeight="1">
      <c r="A52" s="3">
        <f>$B$3*41/200</f>
        <v>0.1025</v>
      </c>
      <c r="B52" s="3">
        <f t="shared" si="2"/>
        <v>0.01477863798</v>
      </c>
      <c r="C52" s="3">
        <f t="shared" si="1"/>
        <v>0.003640038689</v>
      </c>
    </row>
    <row r="53" ht="15.75" customHeight="1">
      <c r="A53" s="3">
        <f>$B$3*42/200</f>
        <v>0.105</v>
      </c>
      <c r="B53" s="3">
        <f t="shared" si="2"/>
        <v>0.01509615236</v>
      </c>
      <c r="C53" s="3">
        <f t="shared" si="1"/>
        <v>0.003801034809</v>
      </c>
    </row>
    <row r="54" ht="15.75" customHeight="1">
      <c r="A54" s="3">
        <f>$B$3*43/200</f>
        <v>0.1075</v>
      </c>
      <c r="B54" s="3">
        <f t="shared" si="2"/>
        <v>0.0154116315</v>
      </c>
      <c r="C54" s="3">
        <f t="shared" si="1"/>
        <v>0.003965351816</v>
      </c>
    </row>
    <row r="55" ht="15.75" customHeight="1">
      <c r="A55" s="3">
        <f>$B$3*44/200</f>
        <v>0.11</v>
      </c>
      <c r="B55" s="3">
        <f t="shared" si="2"/>
        <v>0.015725076</v>
      </c>
      <c r="C55" s="3">
        <f t="shared" si="1"/>
        <v>0.004132923723</v>
      </c>
    </row>
    <row r="56" ht="15.75" customHeight="1">
      <c r="A56" s="3">
        <f>$B$3*45/200</f>
        <v>0.1125</v>
      </c>
      <c r="B56" s="3">
        <f t="shared" si="2"/>
        <v>0.01603648649</v>
      </c>
      <c r="C56" s="3">
        <f t="shared" si="1"/>
        <v>0.00430368001</v>
      </c>
    </row>
    <row r="57" ht="15.75" customHeight="1">
      <c r="A57" s="3">
        <f>$B$3*46/200</f>
        <v>0.115</v>
      </c>
      <c r="B57" s="3">
        <f t="shared" si="2"/>
        <v>0.01634586357</v>
      </c>
      <c r="C57" s="3">
        <f t="shared" si="1"/>
        <v>0.004477545672</v>
      </c>
    </row>
    <row r="58" ht="15.75" customHeight="1">
      <c r="A58" s="3">
        <f>$B$3*47/200</f>
        <v>0.1175</v>
      </c>
      <c r="B58" s="3">
        <f t="shared" si="2"/>
        <v>0.01665320784</v>
      </c>
      <c r="C58" s="3">
        <f t="shared" si="1"/>
        <v>0.004654441274</v>
      </c>
    </row>
    <row r="59" ht="15.75" customHeight="1">
      <c r="A59" s="3">
        <f>$B$3*48/200</f>
        <v>0.12</v>
      </c>
      <c r="B59" s="3">
        <f t="shared" si="2"/>
        <v>0.0169585199</v>
      </c>
      <c r="C59" s="3">
        <f t="shared" si="1"/>
        <v>0.004834283031</v>
      </c>
    </row>
    <row r="60" ht="15.75" customHeight="1">
      <c r="A60" s="3">
        <f>$B$3*49/200</f>
        <v>0.1225</v>
      </c>
      <c r="B60" s="3">
        <f t="shared" si="2"/>
        <v>0.01726180036</v>
      </c>
      <c r="C60" s="3">
        <f t="shared" si="1"/>
        <v>0.005016982906</v>
      </c>
    </row>
    <row r="61" ht="15.75" customHeight="1">
      <c r="A61" s="3">
        <f>$B$3*50/200</f>
        <v>0.125</v>
      </c>
      <c r="B61" s="3">
        <f t="shared" si="2"/>
        <v>0.0175630498</v>
      </c>
      <c r="C61" s="3">
        <f t="shared" si="1"/>
        <v>0.005202448728</v>
      </c>
    </row>
    <row r="62" ht="15.75" customHeight="1">
      <c r="A62" s="3">
        <f>$B$3*51/200</f>
        <v>0.1275</v>
      </c>
      <c r="B62" s="3">
        <f t="shared" si="2"/>
        <v>0.01786226882</v>
      </c>
      <c r="C62" s="3">
        <f t="shared" si="1"/>
        <v>0.005390584329</v>
      </c>
    </row>
    <row r="63" ht="15.75" customHeight="1">
      <c r="A63" s="3">
        <f>$B$3*52/200</f>
        <v>0.13</v>
      </c>
      <c r="B63" s="3">
        <f t="shared" si="2"/>
        <v>0.01815945798</v>
      </c>
      <c r="C63" s="3">
        <f t="shared" si="1"/>
        <v>0.005581289699</v>
      </c>
    </row>
    <row r="64" ht="15.75" customHeight="1">
      <c r="A64" s="3">
        <f>$B$3*53/200</f>
        <v>0.1325</v>
      </c>
      <c r="B64" s="3">
        <f t="shared" si="2"/>
        <v>0.01845461789</v>
      </c>
      <c r="C64" s="3">
        <f t="shared" si="1"/>
        <v>0.005774461162</v>
      </c>
    </row>
    <row r="65" ht="15.75" customHeight="1">
      <c r="A65" s="3">
        <f>$B$3*54/200</f>
        <v>0.135</v>
      </c>
      <c r="B65" s="3">
        <f t="shared" si="2"/>
        <v>0.0187477491</v>
      </c>
      <c r="C65" s="3">
        <f t="shared" si="1"/>
        <v>0.005969991573</v>
      </c>
    </row>
    <row r="66" ht="15.75" customHeight="1">
      <c r="A66" s="3">
        <f>$B$3*55/200</f>
        <v>0.1375</v>
      </c>
      <c r="B66" s="3">
        <f t="shared" si="2"/>
        <v>0.01903885219</v>
      </c>
      <c r="C66" s="3">
        <f t="shared" si="1"/>
        <v>0.00616777053</v>
      </c>
    </row>
    <row r="67" ht="15.75" customHeight="1">
      <c r="A67" s="3">
        <f>$B$3*56/200</f>
        <v>0.14</v>
      </c>
      <c r="B67" s="3">
        <f t="shared" si="2"/>
        <v>0.01932792773</v>
      </c>
      <c r="C67" s="3">
        <f t="shared" si="1"/>
        <v>0.006367684604</v>
      </c>
    </row>
    <row r="68" ht="15.75" customHeight="1">
      <c r="A68" s="3">
        <f>$B$3*57/200</f>
        <v>0.1425</v>
      </c>
      <c r="B68" s="3">
        <f t="shared" si="2"/>
        <v>0.01961497628</v>
      </c>
      <c r="C68" s="3">
        <f t="shared" si="1"/>
        <v>0.006569617594</v>
      </c>
    </row>
    <row r="69" ht="15.75" customHeight="1">
      <c r="A69" s="3">
        <f>$B$3*58/200</f>
        <v>0.145</v>
      </c>
      <c r="B69" s="3">
        <f t="shared" si="2"/>
        <v>0.0198999984</v>
      </c>
      <c r="C69" s="3">
        <f t="shared" si="1"/>
        <v>0.006773450791</v>
      </c>
    </row>
    <row r="70" ht="15.75" customHeight="1">
      <c r="A70" s="3">
        <f>$B$3*59/200</f>
        <v>0.1475</v>
      </c>
      <c r="B70" s="3">
        <f t="shared" si="2"/>
        <v>0.02018299464</v>
      </c>
      <c r="C70" s="3">
        <f t="shared" si="1"/>
        <v>0.006979063261</v>
      </c>
    </row>
    <row r="71" ht="15.75" customHeight="1">
      <c r="A71" s="3">
        <f>$B$3*60/200</f>
        <v>0.15</v>
      </c>
      <c r="B71" s="3">
        <f t="shared" si="2"/>
        <v>0.02046396556</v>
      </c>
      <c r="C71" s="3">
        <f t="shared" si="1"/>
        <v>0.007186332144</v>
      </c>
    </row>
    <row r="72" ht="15.75" customHeight="1">
      <c r="A72" s="3">
        <f>$B$3*61/200</f>
        <v>0.1525</v>
      </c>
      <c r="B72" s="3">
        <f t="shared" si="2"/>
        <v>0.02074291169</v>
      </c>
      <c r="C72" s="3">
        <f t="shared" si="1"/>
        <v>0.00739513297</v>
      </c>
    </row>
    <row r="73" ht="15.75" customHeight="1">
      <c r="A73" s="3">
        <f>$B$3*62/200</f>
        <v>0.155</v>
      </c>
      <c r="B73" s="3">
        <f t="shared" si="2"/>
        <v>0.02101983359</v>
      </c>
      <c r="C73" s="3">
        <f t="shared" si="1"/>
        <v>0.007605339982</v>
      </c>
    </row>
    <row r="74" ht="15.75" customHeight="1">
      <c r="A74" s="3">
        <f>$B$3*63/200</f>
        <v>0.1575</v>
      </c>
      <c r="B74" s="3">
        <f t="shared" si="2"/>
        <v>0.02129473179</v>
      </c>
      <c r="C74" s="3">
        <f t="shared" si="1"/>
        <v>0.007816826476</v>
      </c>
    </row>
    <row r="75" ht="15.75" customHeight="1">
      <c r="A75" s="3">
        <f>$B$3*64/200</f>
        <v>0.16</v>
      </c>
      <c r="B75" s="3">
        <f t="shared" si="2"/>
        <v>0.02156760682</v>
      </c>
      <c r="C75" s="3">
        <f t="shared" si="1"/>
        <v>0.008029465154</v>
      </c>
    </row>
    <row r="76" ht="15.75" customHeight="1">
      <c r="A76" s="3">
        <f>$B$3*65/200</f>
        <v>0.1625</v>
      </c>
      <c r="B76" s="3">
        <f t="shared" si="2"/>
        <v>0.02183845921</v>
      </c>
      <c r="C76" s="3">
        <f t="shared" si="1"/>
        <v>0.008243128476</v>
      </c>
    </row>
    <row r="77" ht="15.75" customHeight="1">
      <c r="A77" s="3">
        <f>$B$3*66/200</f>
        <v>0.165</v>
      </c>
      <c r="B77" s="3">
        <f t="shared" si="2"/>
        <v>0.02210728949</v>
      </c>
      <c r="C77" s="3">
        <f t="shared" si="1"/>
        <v>0.008457689034</v>
      </c>
    </row>
    <row r="78" ht="15.75" customHeight="1">
      <c r="A78" s="3">
        <f>$B$3*67/200</f>
        <v>0.1675</v>
      </c>
      <c r="B78" s="3">
        <f t="shared" si="2"/>
        <v>0.02237409819</v>
      </c>
      <c r="C78" s="3">
        <f t="shared" si="1"/>
        <v>0.008673019921</v>
      </c>
    </row>
    <row r="79" ht="15.75" customHeight="1">
      <c r="A79" s="3">
        <f>$B$3*68/200</f>
        <v>0.17</v>
      </c>
      <c r="B79" s="3">
        <f t="shared" si="2"/>
        <v>0.02263888581</v>
      </c>
      <c r="C79" s="3">
        <f t="shared" si="1"/>
        <v>0.008888995112</v>
      </c>
    </row>
    <row r="80" ht="15.75" customHeight="1">
      <c r="A80" s="3">
        <f>$B$3*69/200</f>
        <v>0.1725</v>
      </c>
      <c r="B80" s="3">
        <f t="shared" si="2"/>
        <v>0.02290165287</v>
      </c>
      <c r="C80" s="3">
        <f t="shared" si="1"/>
        <v>0.009105489842</v>
      </c>
    </row>
    <row r="81" ht="15.75" customHeight="1">
      <c r="A81" s="3">
        <f>$B$3*70/200</f>
        <v>0.175</v>
      </c>
      <c r="B81" s="3">
        <f t="shared" si="2"/>
        <v>0.02316239988</v>
      </c>
      <c r="C81" s="3">
        <f t="shared" si="1"/>
        <v>0.009322380992</v>
      </c>
    </row>
    <row r="82" ht="15.75" customHeight="1">
      <c r="A82" s="3">
        <f>$B$3*71/200</f>
        <v>0.1775</v>
      </c>
      <c r="B82" s="3">
        <f t="shared" si="2"/>
        <v>0.02342112734</v>
      </c>
      <c r="C82" s="3">
        <f t="shared" si="1"/>
        <v>0.009539547469</v>
      </c>
    </row>
    <row r="83" ht="15.75" customHeight="1">
      <c r="A83" s="3">
        <f>$B$3*72/200</f>
        <v>0.18</v>
      </c>
      <c r="B83" s="3">
        <f t="shared" si="2"/>
        <v>0.02367783576</v>
      </c>
      <c r="C83" s="3">
        <f t="shared" si="1"/>
        <v>0.00975687059</v>
      </c>
    </row>
    <row r="84" ht="15.75" customHeight="1">
      <c r="A84" s="3">
        <f>$B$3*73/200</f>
        <v>0.1825</v>
      </c>
      <c r="B84" s="3">
        <f t="shared" si="2"/>
        <v>0.02393252564</v>
      </c>
      <c r="C84" s="3">
        <f t="shared" si="1"/>
        <v>0.009974234453</v>
      </c>
    </row>
    <row r="85" ht="15.75" customHeight="1">
      <c r="A85" s="3">
        <f>$B$3*74/200</f>
        <v>0.185</v>
      </c>
      <c r="B85" s="3">
        <f t="shared" si="2"/>
        <v>0.02418519746</v>
      </c>
      <c r="C85" s="3">
        <f t="shared" si="1"/>
        <v>0.01019152631</v>
      </c>
    </row>
    <row r="86" ht="15.75" customHeight="1">
      <c r="A86" s="3">
        <f>$B$3*75/200</f>
        <v>0.1875</v>
      </c>
      <c r="B86" s="3">
        <f t="shared" si="2"/>
        <v>0.02443585172</v>
      </c>
      <c r="C86" s="3">
        <f t="shared" si="1"/>
        <v>0.01040863693</v>
      </c>
    </row>
    <row r="87" ht="15.75" customHeight="1">
      <c r="A87" s="3">
        <f>$B$3*76/200</f>
        <v>0.19</v>
      </c>
      <c r="B87" s="3">
        <f t="shared" si="2"/>
        <v>0.02468448889</v>
      </c>
      <c r="C87" s="3">
        <f t="shared" si="1"/>
        <v>0.01062546096</v>
      </c>
    </row>
    <row r="88" ht="15.75" customHeight="1">
      <c r="A88" s="3">
        <f>$B$3*77/200</f>
        <v>0.1925</v>
      </c>
      <c r="B88" s="3">
        <f t="shared" si="2"/>
        <v>0.02493110947</v>
      </c>
      <c r="C88" s="3">
        <f t="shared" si="1"/>
        <v>0.01084189724</v>
      </c>
    </row>
    <row r="89" ht="15.75" customHeight="1">
      <c r="A89" s="3">
        <f>$B$3*78/200</f>
        <v>0.195</v>
      </c>
      <c r="B89" s="3">
        <f t="shared" si="2"/>
        <v>0.02517571392</v>
      </c>
      <c r="C89" s="3">
        <f t="shared" si="1"/>
        <v>0.01105784918</v>
      </c>
    </row>
    <row r="90" ht="15.75" customHeight="1">
      <c r="A90" s="3">
        <f>$B$3*79/200</f>
        <v>0.1975</v>
      </c>
      <c r="B90" s="3">
        <f t="shared" si="2"/>
        <v>0.02541830272</v>
      </c>
      <c r="C90" s="3">
        <f t="shared" si="1"/>
        <v>0.01127322503</v>
      </c>
    </row>
    <row r="91" ht="15.75" customHeight="1">
      <c r="A91" s="3">
        <f>$B$3*80/200</f>
        <v>0.2</v>
      </c>
      <c r="B91" s="3">
        <f t="shared" si="2"/>
        <v>0.02565887634</v>
      </c>
      <c r="C91" s="3">
        <f t="shared" si="1"/>
        <v>0.01148793819</v>
      </c>
    </row>
    <row r="92" ht="15.75" customHeight="1">
      <c r="A92" s="3">
        <f>$B$3*81/200</f>
        <v>0.2025</v>
      </c>
      <c r="B92" s="3">
        <f t="shared" si="2"/>
        <v>0.02589743524</v>
      </c>
      <c r="C92" s="3">
        <f t="shared" si="1"/>
        <v>0.01170190753</v>
      </c>
    </row>
    <row r="93" ht="15.75" customHeight="1">
      <c r="A93" s="3">
        <f>$B$3*82/200</f>
        <v>0.205</v>
      </c>
      <c r="B93" s="3">
        <f t="shared" si="2"/>
        <v>0.02613397989</v>
      </c>
      <c r="C93" s="3">
        <f t="shared" si="1"/>
        <v>0.01191505758</v>
      </c>
    </row>
    <row r="94" ht="15.75" customHeight="1">
      <c r="A94" s="3">
        <f>$B$3*83/200</f>
        <v>0.2075</v>
      </c>
      <c r="B94" s="3">
        <f t="shared" si="2"/>
        <v>0.02636851073</v>
      </c>
      <c r="C94" s="3">
        <f t="shared" si="1"/>
        <v>0.01212731884</v>
      </c>
    </row>
    <row r="95" ht="15.75" customHeight="1">
      <c r="A95" s="3">
        <f>$B$3*84/200</f>
        <v>0.21</v>
      </c>
      <c r="B95" s="3">
        <f t="shared" si="2"/>
        <v>0.02660102823</v>
      </c>
      <c r="C95" s="3">
        <f t="shared" si="1"/>
        <v>0.01233862797</v>
      </c>
    </row>
    <row r="96" ht="15.75" customHeight="1">
      <c r="A96" s="3">
        <f>$B$3*85/200</f>
        <v>0.2125</v>
      </c>
      <c r="B96" s="3">
        <f t="shared" si="2"/>
        <v>0.02683153283</v>
      </c>
      <c r="C96" s="3">
        <f t="shared" si="1"/>
        <v>0.01254892798</v>
      </c>
    </row>
    <row r="97" ht="15.75" customHeight="1">
      <c r="A97" s="3">
        <f>$B$3*86/200</f>
        <v>0.215</v>
      </c>
      <c r="B97" s="3">
        <f t="shared" si="2"/>
        <v>0.02706002497</v>
      </c>
      <c r="C97" s="3">
        <f t="shared" si="1"/>
        <v>0.0127581684</v>
      </c>
    </row>
    <row r="98" ht="15.75" customHeight="1">
      <c r="A98" s="3">
        <f>$B$3*87/200</f>
        <v>0.2175</v>
      </c>
      <c r="B98" s="3">
        <f t="shared" si="2"/>
        <v>0.02728650509</v>
      </c>
      <c r="C98" s="3">
        <f t="shared" si="1"/>
        <v>0.01296630547</v>
      </c>
    </row>
    <row r="99" ht="15.75" customHeight="1">
      <c r="A99" s="3">
        <f>$B$3*88/200</f>
        <v>0.22</v>
      </c>
      <c r="B99" s="3">
        <f t="shared" si="2"/>
        <v>0.02751097364</v>
      </c>
      <c r="C99" s="3">
        <f t="shared" si="1"/>
        <v>0.01317330221</v>
      </c>
    </row>
    <row r="100" ht="15.75" customHeight="1">
      <c r="A100" s="3">
        <f>$B$3*89/200</f>
        <v>0.2225</v>
      </c>
      <c r="B100" s="3">
        <f t="shared" si="2"/>
        <v>0.02773343105</v>
      </c>
      <c r="C100" s="3">
        <f t="shared" si="1"/>
        <v>0.01337912855</v>
      </c>
    </row>
    <row r="101" ht="15.75" customHeight="1">
      <c r="A101" s="3">
        <f>$B$3*90/200</f>
        <v>0.225</v>
      </c>
      <c r="B101" s="3">
        <f t="shared" si="2"/>
        <v>0.02795387773</v>
      </c>
      <c r="C101" s="3">
        <f t="shared" si="1"/>
        <v>0.01358376138</v>
      </c>
    </row>
    <row r="102" ht="15.75" customHeight="1">
      <c r="A102" s="3">
        <f>$B$3*91/200</f>
        <v>0.2275</v>
      </c>
      <c r="B102" s="3">
        <f t="shared" si="2"/>
        <v>0.02817231413</v>
      </c>
      <c r="C102" s="3">
        <f t="shared" si="1"/>
        <v>0.0137871846</v>
      </c>
    </row>
    <row r="103" ht="15.75" customHeight="1">
      <c r="A103" s="3">
        <f>$B$3*92/200</f>
        <v>0.23</v>
      </c>
      <c r="B103" s="3">
        <f t="shared" si="2"/>
        <v>0.02838874064</v>
      </c>
      <c r="C103" s="3">
        <f t="shared" si="1"/>
        <v>0.01398938914</v>
      </c>
    </row>
    <row r="104" ht="15.75" customHeight="1">
      <c r="A104" s="3">
        <f>$B$3*93/200</f>
        <v>0.2325</v>
      </c>
      <c r="B104" s="3">
        <f t="shared" si="2"/>
        <v>0.02860315771</v>
      </c>
      <c r="C104" s="3">
        <f t="shared" si="1"/>
        <v>0.01419037293</v>
      </c>
    </row>
    <row r="105" ht="15.75" customHeight="1">
      <c r="A105" s="3">
        <f>$B$3*94/200</f>
        <v>0.235</v>
      </c>
      <c r="B105" s="3">
        <f t="shared" si="2"/>
        <v>0.02881556573</v>
      </c>
      <c r="C105" s="3">
        <f t="shared" si="1"/>
        <v>0.01439014089</v>
      </c>
    </row>
    <row r="106" ht="15.75" customHeight="1">
      <c r="A106" s="3">
        <f>$B$3*95/200</f>
        <v>0.2375</v>
      </c>
      <c r="B106" s="3">
        <f t="shared" si="2"/>
        <v>0.02902596511</v>
      </c>
      <c r="C106" s="3">
        <f t="shared" si="1"/>
        <v>0.01458870483</v>
      </c>
    </row>
    <row r="107" ht="15.75" customHeight="1">
      <c r="A107" s="3">
        <f>$B$3*96/200</f>
        <v>0.24</v>
      </c>
      <c r="B107" s="3">
        <f t="shared" si="2"/>
        <v>0.02923435627</v>
      </c>
      <c r="C107" s="3">
        <f t="shared" si="1"/>
        <v>0.01478608337</v>
      </c>
    </row>
    <row r="108" ht="15.75" customHeight="1">
      <c r="A108" s="3">
        <f>$B$3*97/200</f>
        <v>0.2425</v>
      </c>
      <c r="B108" s="3">
        <f t="shared" si="2"/>
        <v>0.02944073959</v>
      </c>
      <c r="C108" s="3">
        <f t="shared" si="1"/>
        <v>0.01498230181</v>
      </c>
    </row>
    <row r="109" ht="15.75" customHeight="1">
      <c r="A109" s="3">
        <f>$B$3*98/200</f>
        <v>0.245</v>
      </c>
      <c r="B109" s="3">
        <f t="shared" si="2"/>
        <v>0.02964511548</v>
      </c>
      <c r="C109" s="3">
        <f t="shared" si="1"/>
        <v>0.01517739201</v>
      </c>
    </row>
    <row r="110" ht="15.75" customHeight="1">
      <c r="A110" s="3">
        <f>$B$3*99/200</f>
        <v>0.2475</v>
      </c>
      <c r="B110" s="3">
        <f t="shared" si="2"/>
        <v>0.02984748433</v>
      </c>
      <c r="C110" s="3">
        <f t="shared" si="1"/>
        <v>0.01537139218</v>
      </c>
    </row>
    <row r="111" ht="15.75" customHeight="1">
      <c r="A111" s="3">
        <f>$B$3*100/200</f>
        <v>0.25</v>
      </c>
      <c r="B111" s="3">
        <f t="shared" si="2"/>
        <v>0.03004784652</v>
      </c>
      <c r="C111" s="3">
        <f t="shared" si="1"/>
        <v>0.01556434672</v>
      </c>
    </row>
    <row r="112" ht="15.75" customHeight="1">
      <c r="A112" s="3">
        <f>$B$3*101/200</f>
        <v>0.2525</v>
      </c>
      <c r="B112" s="3">
        <f t="shared" si="2"/>
        <v>0.03024620245</v>
      </c>
      <c r="C112" s="3">
        <f t="shared" si="1"/>
        <v>0.01575630597</v>
      </c>
    </row>
    <row r="113" ht="15.75" customHeight="1">
      <c r="A113" s="3">
        <f>$B$3*102/200</f>
        <v>0.255</v>
      </c>
      <c r="B113" s="3">
        <f t="shared" si="2"/>
        <v>0.0304425525</v>
      </c>
      <c r="C113" s="3">
        <f t="shared" si="1"/>
        <v>0.01594732601</v>
      </c>
    </row>
    <row r="114" ht="15.75" customHeight="1">
      <c r="A114" s="3">
        <f>$B$3*103/200</f>
        <v>0.2575</v>
      </c>
      <c r="B114" s="3">
        <f t="shared" si="2"/>
        <v>0.03063689703</v>
      </c>
      <c r="C114" s="3">
        <f t="shared" si="1"/>
        <v>0.01613746835</v>
      </c>
    </row>
    <row r="115" ht="15.75" customHeight="1">
      <c r="A115" s="3">
        <f>$B$3*104/200</f>
        <v>0.26</v>
      </c>
      <c r="B115" s="3">
        <f t="shared" si="2"/>
        <v>0.03082923642</v>
      </c>
      <c r="C115" s="3">
        <f t="shared" si="1"/>
        <v>0.01632679969</v>
      </c>
    </row>
    <row r="116" ht="15.75" customHeight="1">
      <c r="A116" s="3">
        <f>$B$3*105/200</f>
        <v>0.2625</v>
      </c>
      <c r="B116" s="3">
        <f t="shared" si="2"/>
        <v>0.03101957105</v>
      </c>
      <c r="C116" s="3">
        <f t="shared" si="1"/>
        <v>0.0165153916</v>
      </c>
    </row>
    <row r="117" ht="15.75" customHeight="1">
      <c r="A117" s="3">
        <f>$B$3*106/200</f>
        <v>0.265</v>
      </c>
      <c r="B117" s="3">
        <f t="shared" si="2"/>
        <v>0.03120790127</v>
      </c>
      <c r="C117" s="3">
        <f t="shared" si="1"/>
        <v>0.01670332022</v>
      </c>
    </row>
    <row r="118" ht="15.75" customHeight="1">
      <c r="A118" s="3">
        <f>$B$3*107/200</f>
        <v>0.2675</v>
      </c>
      <c r="B118" s="3">
        <f t="shared" si="2"/>
        <v>0.03139422745</v>
      </c>
      <c r="C118" s="3">
        <f t="shared" si="1"/>
        <v>0.01689066593</v>
      </c>
    </row>
    <row r="119" ht="15.75" customHeight="1">
      <c r="A119" s="3">
        <f>$B$3*108/200</f>
        <v>0.27</v>
      </c>
      <c r="B119" s="3">
        <f t="shared" si="2"/>
        <v>0.03157854995</v>
      </c>
      <c r="C119" s="3">
        <f t="shared" si="1"/>
        <v>0.017077513</v>
      </c>
    </row>
    <row r="120" ht="15.75" customHeight="1">
      <c r="A120" s="3">
        <f>$B$3*109/200</f>
        <v>0.2725</v>
      </c>
      <c r="B120" s="3">
        <f t="shared" si="2"/>
        <v>0.03176086911</v>
      </c>
      <c r="C120" s="3">
        <f t="shared" si="1"/>
        <v>0.01726394923</v>
      </c>
    </row>
    <row r="121" ht="15.75" customHeight="1">
      <c r="A121" s="3">
        <f>$B$3*110/200</f>
        <v>0.275</v>
      </c>
      <c r="B121" s="3">
        <f t="shared" si="2"/>
        <v>0.0319411853</v>
      </c>
      <c r="C121" s="3">
        <f t="shared" si="1"/>
        <v>0.01745006563</v>
      </c>
    </row>
    <row r="122" ht="15.75" customHeight="1">
      <c r="A122" s="3">
        <f>$B$3*111/200</f>
        <v>0.2775</v>
      </c>
      <c r="B122" s="3">
        <f t="shared" si="2"/>
        <v>0.03211949884</v>
      </c>
      <c r="C122" s="3">
        <f t="shared" si="1"/>
        <v>0.01763595601</v>
      </c>
    </row>
    <row r="123" ht="15.75" customHeight="1">
      <c r="A123" s="3">
        <f>$B$3*112/200</f>
        <v>0.28</v>
      </c>
      <c r="B123" s="3">
        <f t="shared" si="2"/>
        <v>0.03229581009</v>
      </c>
      <c r="C123" s="3">
        <f t="shared" si="1"/>
        <v>0.0178217166</v>
      </c>
    </row>
    <row r="124" ht="15.75" customHeight="1">
      <c r="A124" s="3">
        <f>$B$3*113/200</f>
        <v>0.2825</v>
      </c>
      <c r="B124" s="3">
        <f t="shared" si="2"/>
        <v>0.03247011938</v>
      </c>
      <c r="C124" s="3">
        <f t="shared" si="1"/>
        <v>0.01800744572</v>
      </c>
    </row>
    <row r="125" ht="15.75" customHeight="1">
      <c r="A125" s="3">
        <f>$B$3*114/200</f>
        <v>0.285</v>
      </c>
      <c r="B125" s="3">
        <f t="shared" si="2"/>
        <v>0.03264242705</v>
      </c>
      <c r="C125" s="3">
        <f t="shared" si="1"/>
        <v>0.01819324336</v>
      </c>
    </row>
    <row r="126" ht="15.75" customHeight="1">
      <c r="A126" s="3">
        <f>$B$3*115/200</f>
        <v>0.2875</v>
      </c>
      <c r="B126" s="3">
        <f t="shared" si="2"/>
        <v>0.03281273342</v>
      </c>
      <c r="C126" s="3">
        <f t="shared" si="1"/>
        <v>0.01837921079</v>
      </c>
    </row>
    <row r="127" ht="15.75" customHeight="1">
      <c r="A127" s="3">
        <f>$B$3*116/200</f>
        <v>0.29</v>
      </c>
      <c r="B127" s="3">
        <f t="shared" si="2"/>
        <v>0.03298103882</v>
      </c>
      <c r="C127" s="3">
        <f t="shared" si="1"/>
        <v>0.01856545021</v>
      </c>
    </row>
    <row r="128" ht="15.75" customHeight="1">
      <c r="A128" s="3">
        <f>$B$3*117/200</f>
        <v>0.2925</v>
      </c>
      <c r="B128" s="3">
        <f t="shared" si="2"/>
        <v>0.03314734358</v>
      </c>
      <c r="C128" s="3">
        <f t="shared" si="1"/>
        <v>0.01875206437</v>
      </c>
    </row>
    <row r="129" ht="15.75" customHeight="1">
      <c r="A129" s="3">
        <f>$B$3*118/200</f>
        <v>0.295</v>
      </c>
      <c r="B129" s="3">
        <f t="shared" si="2"/>
        <v>0.033311648</v>
      </c>
      <c r="C129" s="3">
        <f t="shared" si="1"/>
        <v>0.01893915617</v>
      </c>
    </row>
    <row r="130" ht="15.75" customHeight="1">
      <c r="A130" s="3">
        <f>$B$3*119/200</f>
        <v>0.2975</v>
      </c>
      <c r="B130" s="3">
        <f t="shared" si="2"/>
        <v>0.03347395242</v>
      </c>
      <c r="C130" s="3">
        <f t="shared" si="1"/>
        <v>0.01912682834</v>
      </c>
    </row>
    <row r="131" ht="15.75" customHeight="1">
      <c r="A131" s="3">
        <f>$B$3*120/200</f>
        <v>0.3</v>
      </c>
      <c r="B131" s="3">
        <f t="shared" si="2"/>
        <v>0.03363425713</v>
      </c>
      <c r="C131" s="3">
        <f t="shared" si="1"/>
        <v>0.01931518302</v>
      </c>
    </row>
    <row r="132" ht="15.75" customHeight="1">
      <c r="A132" s="3">
        <f>$B$3*121/200</f>
        <v>0.3025</v>
      </c>
      <c r="B132" s="3">
        <f t="shared" si="2"/>
        <v>0.03379256244</v>
      </c>
      <c r="C132" s="3">
        <f t="shared" si="1"/>
        <v>0.01950432148</v>
      </c>
    </row>
    <row r="133" ht="15.75" customHeight="1">
      <c r="A133" s="3">
        <f>$B$3*122/200</f>
        <v>0.305</v>
      </c>
      <c r="B133" s="3">
        <f t="shared" si="2"/>
        <v>0.03394886865</v>
      </c>
      <c r="C133" s="3">
        <f t="shared" si="1"/>
        <v>0.01969434374</v>
      </c>
    </row>
    <row r="134" ht="15.75" customHeight="1">
      <c r="A134" s="3">
        <f>$B$3*123/200</f>
        <v>0.3075</v>
      </c>
      <c r="B134" s="3">
        <f t="shared" si="2"/>
        <v>0.03410317607</v>
      </c>
      <c r="C134" s="3">
        <f t="shared" si="1"/>
        <v>0.01988534825</v>
      </c>
    </row>
    <row r="135" ht="15.75" customHeight="1">
      <c r="A135" s="3">
        <f>$B$3*124/200</f>
        <v>0.31</v>
      </c>
      <c r="B135" s="3">
        <f t="shared" si="2"/>
        <v>0.03425548498</v>
      </c>
      <c r="C135" s="3">
        <f t="shared" si="1"/>
        <v>0.02007743159</v>
      </c>
    </row>
    <row r="136" ht="15.75" customHeight="1">
      <c r="A136" s="3">
        <f>$B$3*125/200</f>
        <v>0.3125</v>
      </c>
      <c r="B136" s="3">
        <f t="shared" si="2"/>
        <v>0.03440579569</v>
      </c>
      <c r="C136" s="3">
        <f t="shared" si="1"/>
        <v>0.02027068816</v>
      </c>
    </row>
    <row r="137" ht="15.75" customHeight="1">
      <c r="A137" s="3">
        <f>$B$3*126/200</f>
        <v>0.315</v>
      </c>
      <c r="B137" s="3">
        <f t="shared" si="2"/>
        <v>0.03455410847</v>
      </c>
      <c r="C137" s="3">
        <f t="shared" si="1"/>
        <v>0.02046520992</v>
      </c>
    </row>
    <row r="138" ht="15.75" customHeight="1">
      <c r="A138" s="3">
        <f>$B$3*127/200</f>
        <v>0.3175</v>
      </c>
      <c r="B138" s="3">
        <f t="shared" si="2"/>
        <v>0.03470042361</v>
      </c>
      <c r="C138" s="3">
        <f t="shared" si="1"/>
        <v>0.02066108609</v>
      </c>
    </row>
    <row r="139" ht="15.75" customHeight="1">
      <c r="A139" s="3">
        <f>$B$3*128/200</f>
        <v>0.32</v>
      </c>
      <c r="B139" s="3">
        <f t="shared" si="2"/>
        <v>0.03484474138</v>
      </c>
      <c r="C139" s="3">
        <f t="shared" si="1"/>
        <v>0.02085840293</v>
      </c>
    </row>
    <row r="140" ht="15.75" customHeight="1">
      <c r="A140" s="3">
        <f>$B$3*129/200</f>
        <v>0.3225</v>
      </c>
      <c r="B140" s="3">
        <f t="shared" si="2"/>
        <v>0.03498706208</v>
      </c>
      <c r="C140" s="3">
        <f t="shared" si="1"/>
        <v>0.0210572435</v>
      </c>
    </row>
    <row r="141" ht="15.75" customHeight="1">
      <c r="A141" s="3">
        <f>$B$3*130/200</f>
        <v>0.325</v>
      </c>
      <c r="B141" s="3">
        <f t="shared" si="2"/>
        <v>0.03512738595</v>
      </c>
      <c r="C141" s="3">
        <f t="shared" si="1"/>
        <v>0.02125768744</v>
      </c>
    </row>
    <row r="142" ht="15.75" customHeight="1">
      <c r="A142" s="3">
        <f>$B$3*131/200</f>
        <v>0.3275</v>
      </c>
      <c r="B142" s="3">
        <f t="shared" si="2"/>
        <v>0.03526571328</v>
      </c>
      <c r="C142" s="3">
        <f t="shared" si="1"/>
        <v>0.0214598108</v>
      </c>
    </row>
    <row r="143" ht="15.75" customHeight="1">
      <c r="A143" s="3">
        <f>$B$3*132/200</f>
        <v>0.33</v>
      </c>
      <c r="B143" s="3">
        <f t="shared" si="2"/>
        <v>0.03540204432</v>
      </c>
      <c r="C143" s="3">
        <f t="shared" si="1"/>
        <v>0.02166368584</v>
      </c>
    </row>
    <row r="144" ht="15.75" customHeight="1">
      <c r="A144" s="3">
        <f>$B$3*133/200</f>
        <v>0.3325</v>
      </c>
      <c r="B144" s="3">
        <f t="shared" si="2"/>
        <v>0.03553637935</v>
      </c>
      <c r="C144" s="3">
        <f t="shared" si="1"/>
        <v>0.02186938087</v>
      </c>
    </row>
    <row r="145" ht="15.75" customHeight="1">
      <c r="A145" s="3">
        <f>$B$3*134/200</f>
        <v>0.335</v>
      </c>
      <c r="B145" s="3">
        <f t="shared" si="2"/>
        <v>0.0356687186</v>
      </c>
      <c r="C145" s="3">
        <f t="shared" si="1"/>
        <v>0.02207696017</v>
      </c>
    </row>
    <row r="146" ht="15.75" customHeight="1">
      <c r="A146" s="3">
        <f>$B$3*135/200</f>
        <v>0.3375</v>
      </c>
      <c r="B146" s="3">
        <f t="shared" si="2"/>
        <v>0.03579906234</v>
      </c>
      <c r="C146" s="3">
        <f t="shared" si="1"/>
        <v>0.02228648379</v>
      </c>
    </row>
    <row r="147" ht="15.75" customHeight="1">
      <c r="A147" s="3">
        <f>$B$3*136/200</f>
        <v>0.34</v>
      </c>
      <c r="B147" s="3">
        <f t="shared" si="2"/>
        <v>0.03592741081</v>
      </c>
      <c r="C147" s="3">
        <f t="shared" si="1"/>
        <v>0.02249800752</v>
      </c>
    </row>
    <row r="148" ht="15.75" customHeight="1">
      <c r="A148" s="3">
        <f>$B$3*137/200</f>
        <v>0.3425</v>
      </c>
      <c r="B148" s="3">
        <f t="shared" si="2"/>
        <v>0.03605376426</v>
      </c>
      <c r="C148" s="3">
        <f t="shared" si="1"/>
        <v>0.02271158278</v>
      </c>
    </row>
    <row r="149" ht="15.75" customHeight="1">
      <c r="A149" s="3">
        <f>$B$3*138/200</f>
        <v>0.345</v>
      </c>
      <c r="B149" s="3">
        <f t="shared" si="2"/>
        <v>0.03617812293</v>
      </c>
      <c r="C149" s="3">
        <f t="shared" si="1"/>
        <v>0.02292725659</v>
      </c>
    </row>
    <row r="150" ht="15.75" customHeight="1">
      <c r="A150" s="3">
        <f>$B$3*139/200</f>
        <v>0.3475</v>
      </c>
      <c r="B150" s="3">
        <f t="shared" si="2"/>
        <v>0.03630048706</v>
      </c>
      <c r="C150" s="3">
        <f t="shared" si="1"/>
        <v>0.02314507149</v>
      </c>
    </row>
    <row r="151" ht="15.75" customHeight="1">
      <c r="A151" s="3">
        <f>$B$3*140/200</f>
        <v>0.35</v>
      </c>
      <c r="B151" s="3">
        <f t="shared" si="2"/>
        <v>0.03642085687</v>
      </c>
      <c r="C151" s="3">
        <f t="shared" si="1"/>
        <v>0.02336506555</v>
      </c>
    </row>
    <row r="152" ht="15.75" customHeight="1">
      <c r="A152" s="3">
        <f>$B$3*141/200</f>
        <v>0.3525</v>
      </c>
      <c r="B152" s="3">
        <f t="shared" si="2"/>
        <v>0.03653923261</v>
      </c>
      <c r="C152" s="3">
        <f t="shared" si="1"/>
        <v>0.02358727236</v>
      </c>
    </row>
    <row r="153" ht="15.75" customHeight="1">
      <c r="A153" s="3">
        <f>$B$3*142/200</f>
        <v>0.355</v>
      </c>
      <c r="B153" s="3">
        <f t="shared" si="2"/>
        <v>0.03665561448</v>
      </c>
      <c r="C153" s="3">
        <f t="shared" si="1"/>
        <v>0.02381172103</v>
      </c>
    </row>
    <row r="154" ht="15.75" customHeight="1">
      <c r="A154" s="3">
        <f>$B$3*143/200</f>
        <v>0.3575</v>
      </c>
      <c r="B154" s="3">
        <f t="shared" si="2"/>
        <v>0.03677000272</v>
      </c>
      <c r="C154" s="3">
        <f t="shared" si="1"/>
        <v>0.02403843622</v>
      </c>
    </row>
    <row r="155" ht="15.75" customHeight="1">
      <c r="A155" s="3">
        <f>$B$3*144/200</f>
        <v>0.36</v>
      </c>
      <c r="B155" s="3">
        <f t="shared" si="2"/>
        <v>0.03688239754</v>
      </c>
      <c r="C155" s="3">
        <f t="shared" si="1"/>
        <v>0.02426743821</v>
      </c>
    </row>
    <row r="156" ht="15.75" customHeight="1">
      <c r="A156" s="3">
        <f>$B$3*145/200</f>
        <v>0.3625</v>
      </c>
      <c r="B156" s="3">
        <f t="shared" si="2"/>
        <v>0.03699279916</v>
      </c>
      <c r="C156" s="3">
        <f t="shared" si="1"/>
        <v>0.02449874293</v>
      </c>
    </row>
    <row r="157" ht="15.75" customHeight="1">
      <c r="A157" s="3">
        <f>$B$3*146/200</f>
        <v>0.365</v>
      </c>
      <c r="B157" s="3">
        <f t="shared" si="2"/>
        <v>0.03710120779</v>
      </c>
      <c r="C157" s="3">
        <f t="shared" si="1"/>
        <v>0.02473236204</v>
      </c>
    </row>
    <row r="158" ht="15.75" customHeight="1">
      <c r="A158" s="3">
        <f>$B$3*147/200</f>
        <v>0.3675</v>
      </c>
      <c r="B158" s="3">
        <f t="shared" si="2"/>
        <v>0.03720762363</v>
      </c>
      <c r="C158" s="3">
        <f t="shared" si="1"/>
        <v>0.02496830303</v>
      </c>
    </row>
    <row r="159" ht="15.75" customHeight="1">
      <c r="A159" s="3">
        <f>$B$3*148/200</f>
        <v>0.37</v>
      </c>
      <c r="B159" s="3">
        <f t="shared" si="2"/>
        <v>0.03731204689</v>
      </c>
      <c r="C159" s="3">
        <f t="shared" si="1"/>
        <v>0.02520656931</v>
      </c>
    </row>
    <row r="160" ht="15.75" customHeight="1">
      <c r="A160" s="3">
        <f>$B$3*149/200</f>
        <v>0.3725</v>
      </c>
      <c r="B160" s="3">
        <f t="shared" si="2"/>
        <v>0.03741447775</v>
      </c>
      <c r="C160" s="3">
        <f t="shared" si="1"/>
        <v>0.02544716028</v>
      </c>
    </row>
    <row r="161" ht="15.75" customHeight="1">
      <c r="A161" s="3">
        <f>$B$3*150/200</f>
        <v>0.375</v>
      </c>
      <c r="B161" s="3">
        <f t="shared" si="2"/>
        <v>0.03751491643</v>
      </c>
      <c r="C161" s="3">
        <f t="shared" si="1"/>
        <v>0.02569007154</v>
      </c>
    </row>
    <row r="162" ht="15.75" customHeight="1">
      <c r="A162" s="3">
        <f>$B$3*151/200</f>
        <v>0.3775</v>
      </c>
      <c r="B162" s="3">
        <f t="shared" si="2"/>
        <v>0.03761336311</v>
      </c>
      <c r="C162" s="3">
        <f t="shared" si="1"/>
        <v>0.02593529492</v>
      </c>
    </row>
    <row r="163" ht="15.75" customHeight="1">
      <c r="A163" s="3">
        <f>$B$3*152/200</f>
        <v>0.38</v>
      </c>
      <c r="B163" s="3">
        <f t="shared" si="2"/>
        <v>0.03770981798</v>
      </c>
      <c r="C163" s="3">
        <f t="shared" si="1"/>
        <v>0.02618281867</v>
      </c>
    </row>
    <row r="164" ht="15.75" customHeight="1">
      <c r="A164" s="3">
        <f>$B$3*153/200</f>
        <v>0.3825</v>
      </c>
      <c r="B164" s="3">
        <f t="shared" si="2"/>
        <v>0.03780428121</v>
      </c>
      <c r="C164" s="3">
        <f t="shared" si="1"/>
        <v>0.02643262761</v>
      </c>
    </row>
    <row r="165" ht="15.75" customHeight="1">
      <c r="A165" s="3">
        <f>$B$3*154/200</f>
        <v>0.385</v>
      </c>
      <c r="B165" s="3">
        <f t="shared" si="2"/>
        <v>0.037896753</v>
      </c>
      <c r="C165" s="3">
        <f t="shared" si="1"/>
        <v>0.02668470323</v>
      </c>
    </row>
    <row r="166" ht="15.75" customHeight="1">
      <c r="A166" s="3">
        <f>$B$3*155/200</f>
        <v>0.3875</v>
      </c>
      <c r="B166" s="3">
        <f t="shared" si="2"/>
        <v>0.03798723351</v>
      </c>
      <c r="C166" s="3">
        <f t="shared" si="1"/>
        <v>0.02693902392</v>
      </c>
    </row>
    <row r="167" ht="15.75" customHeight="1">
      <c r="A167" s="3">
        <f>$B$3*156/200</f>
        <v>0.39</v>
      </c>
      <c r="B167" s="3">
        <f t="shared" si="2"/>
        <v>0.03807572292</v>
      </c>
      <c r="C167" s="3">
        <f t="shared" si="1"/>
        <v>0.02719556504</v>
      </c>
    </row>
    <row r="168" ht="15.75" customHeight="1">
      <c r="A168" s="3">
        <f>$B$3*157/200</f>
        <v>0.3925</v>
      </c>
      <c r="B168" s="3">
        <f t="shared" si="2"/>
        <v>0.03816222139</v>
      </c>
      <c r="C168" s="3">
        <f t="shared" si="1"/>
        <v>0.02745429918</v>
      </c>
    </row>
    <row r="169" ht="15.75" customHeight="1">
      <c r="A169" s="3">
        <f>$B$3*158/200</f>
        <v>0.395</v>
      </c>
      <c r="B169" s="3">
        <f t="shared" si="2"/>
        <v>0.0382467291</v>
      </c>
      <c r="C169" s="3">
        <f t="shared" si="1"/>
        <v>0.02771519622</v>
      </c>
    </row>
    <row r="170" ht="15.75" customHeight="1">
      <c r="A170" s="3">
        <f>$B$3*159/200</f>
        <v>0.3975</v>
      </c>
      <c r="B170" s="3">
        <f t="shared" si="2"/>
        <v>0.0383292462</v>
      </c>
      <c r="C170" s="3">
        <f t="shared" si="1"/>
        <v>0.0279782236</v>
      </c>
    </row>
    <row r="171" ht="15.75" customHeight="1">
      <c r="A171" s="3">
        <f>$B$3*160/200</f>
        <v>0.4</v>
      </c>
      <c r="B171" s="3">
        <f t="shared" si="2"/>
        <v>0.03840977284</v>
      </c>
      <c r="C171" s="3">
        <f t="shared" si="1"/>
        <v>0.0282433464</v>
      </c>
    </row>
    <row r="172" ht="15.75" customHeight="1">
      <c r="A172" s="3">
        <f>$B$3*161/200</f>
        <v>0.4025</v>
      </c>
      <c r="B172" s="3">
        <f t="shared" si="2"/>
        <v>0.03848830919</v>
      </c>
      <c r="C172" s="3">
        <f t="shared" si="1"/>
        <v>0.02851052759</v>
      </c>
    </row>
    <row r="173" ht="15.75" customHeight="1">
      <c r="A173" s="3">
        <f>$B$3*162/200</f>
        <v>0.405</v>
      </c>
      <c r="B173" s="3">
        <f t="shared" si="2"/>
        <v>0.03856485538</v>
      </c>
      <c r="C173" s="3">
        <f t="shared" si="1"/>
        <v>0.02877972812</v>
      </c>
    </row>
    <row r="174" ht="15.75" customHeight="1">
      <c r="A174" s="3">
        <f>$B$3*163/200</f>
        <v>0.4075</v>
      </c>
      <c r="B174" s="3">
        <f t="shared" si="2"/>
        <v>0.03863941157</v>
      </c>
      <c r="C174" s="3">
        <f t="shared" si="1"/>
        <v>0.02905090714</v>
      </c>
    </row>
    <row r="175" ht="15.75" customHeight="1">
      <c r="A175" s="3">
        <f>$B$3*164/200</f>
        <v>0.41</v>
      </c>
      <c r="B175" s="3">
        <f t="shared" si="2"/>
        <v>0.0387119779</v>
      </c>
      <c r="C175" s="3">
        <f t="shared" si="1"/>
        <v>0.02932402211</v>
      </c>
    </row>
    <row r="176" ht="15.75" customHeight="1">
      <c r="A176" s="3">
        <f>$B$3*165/200</f>
        <v>0.4125</v>
      </c>
      <c r="B176" s="3">
        <f t="shared" si="2"/>
        <v>0.0387825545</v>
      </c>
      <c r="C176" s="3">
        <f t="shared" si="1"/>
        <v>0.02959902905</v>
      </c>
    </row>
    <row r="177" ht="15.75" customHeight="1">
      <c r="A177" s="3">
        <f>$B$3*166/200</f>
        <v>0.415</v>
      </c>
      <c r="B177" s="3">
        <f t="shared" si="2"/>
        <v>0.03885114151</v>
      </c>
      <c r="C177" s="3">
        <f t="shared" si="1"/>
        <v>0.02987588258</v>
      </c>
    </row>
    <row r="178" ht="15.75" customHeight="1">
      <c r="A178" s="3">
        <f>$B$3*167/200</f>
        <v>0.4175</v>
      </c>
      <c r="B178" s="3">
        <f t="shared" si="2"/>
        <v>0.03891773906</v>
      </c>
      <c r="C178" s="3">
        <f t="shared" si="1"/>
        <v>0.03015453619</v>
      </c>
    </row>
    <row r="179" ht="15.75" customHeight="1">
      <c r="A179" s="3">
        <f>$B$3*168/200</f>
        <v>0.42</v>
      </c>
      <c r="B179" s="3">
        <f t="shared" si="2"/>
        <v>0.03898234728</v>
      </c>
      <c r="C179" s="3">
        <f t="shared" si="1"/>
        <v>0.03043494229</v>
      </c>
    </row>
    <row r="180" ht="15.75" customHeight="1">
      <c r="A180" s="3">
        <f>$B$3*169/200</f>
        <v>0.4225</v>
      </c>
      <c r="B180" s="3">
        <f t="shared" si="2"/>
        <v>0.03904496628</v>
      </c>
      <c r="C180" s="3">
        <f t="shared" si="1"/>
        <v>0.03071705243</v>
      </c>
    </row>
    <row r="181" ht="15.75" customHeight="1">
      <c r="A181" s="3">
        <f>$B$3*170/200</f>
        <v>0.425</v>
      </c>
      <c r="B181" s="3">
        <f t="shared" si="2"/>
        <v>0.03910559619</v>
      </c>
      <c r="C181" s="3">
        <f t="shared" si="1"/>
        <v>0.0310008174</v>
      </c>
    </row>
    <row r="182" ht="15.75" customHeight="1">
      <c r="A182" s="3">
        <f>$B$3*171/200</f>
        <v>0.4275</v>
      </c>
      <c r="B182" s="3">
        <f t="shared" si="2"/>
        <v>0.03916423712</v>
      </c>
      <c r="C182" s="3">
        <f t="shared" si="1"/>
        <v>0.03128618736</v>
      </c>
    </row>
    <row r="183" ht="15.75" customHeight="1">
      <c r="A183" s="3">
        <f>$B$3*172/200</f>
        <v>0.43</v>
      </c>
      <c r="B183" s="3">
        <f t="shared" si="2"/>
        <v>0.03922088919</v>
      </c>
      <c r="C183" s="3">
        <f t="shared" si="1"/>
        <v>0.031573112</v>
      </c>
    </row>
    <row r="184" ht="15.75" customHeight="1">
      <c r="A184" s="3">
        <f>$B$3*173/200</f>
        <v>0.4325</v>
      </c>
      <c r="B184" s="3">
        <f t="shared" si="2"/>
        <v>0.03927555249</v>
      </c>
      <c r="C184" s="3">
        <f t="shared" si="1"/>
        <v>0.03186154062</v>
      </c>
    </row>
    <row r="185" ht="15.75" customHeight="1">
      <c r="A185" s="3">
        <f>$B$3*174/200</f>
        <v>0.435</v>
      </c>
      <c r="B185" s="3">
        <f t="shared" si="2"/>
        <v>0.03932822714</v>
      </c>
      <c r="C185" s="3">
        <f t="shared" si="1"/>
        <v>0.0321514223</v>
      </c>
    </row>
    <row r="186" ht="15.75" customHeight="1">
      <c r="A186" s="3">
        <f>$B$3*175/200</f>
        <v>0.4375</v>
      </c>
      <c r="B186" s="3">
        <f t="shared" si="2"/>
        <v>0.03937891324</v>
      </c>
      <c r="C186" s="3">
        <f t="shared" si="1"/>
        <v>0.03244270596</v>
      </c>
    </row>
    <row r="187" ht="15.75" customHeight="1">
      <c r="A187" s="3">
        <f>$B$3*176/200</f>
        <v>0.44</v>
      </c>
      <c r="B187" s="3">
        <f t="shared" si="2"/>
        <v>0.03942761087</v>
      </c>
      <c r="C187" s="3">
        <f t="shared" si="1"/>
        <v>0.03273534049</v>
      </c>
    </row>
    <row r="188" ht="15.75" customHeight="1">
      <c r="A188" s="3">
        <f>$B$3*177/200</f>
        <v>0.4425</v>
      </c>
      <c r="B188" s="3">
        <f t="shared" si="2"/>
        <v>0.03947432014</v>
      </c>
      <c r="C188" s="3">
        <f t="shared" si="1"/>
        <v>0.03302927484</v>
      </c>
    </row>
    <row r="189" ht="15.75" customHeight="1">
      <c r="A189" s="3">
        <f>$B$3*178/200</f>
        <v>0.445</v>
      </c>
      <c r="B189" s="3">
        <f t="shared" si="2"/>
        <v>0.03951904113</v>
      </c>
      <c r="C189" s="3">
        <f t="shared" si="1"/>
        <v>0.03332445812</v>
      </c>
    </row>
    <row r="190" ht="15.75" customHeight="1">
      <c r="A190" s="3">
        <f>$B$3*179/200</f>
        <v>0.4475</v>
      </c>
      <c r="B190" s="3">
        <f t="shared" si="2"/>
        <v>0.03956177392</v>
      </c>
      <c r="C190" s="3">
        <f t="shared" si="1"/>
        <v>0.03362083967</v>
      </c>
    </row>
    <row r="191" ht="15.75" customHeight="1">
      <c r="A191" s="3">
        <f>$B$3*180/200</f>
        <v>0.45</v>
      </c>
      <c r="B191" s="3">
        <f t="shared" si="2"/>
        <v>0.0396025186</v>
      </c>
      <c r="C191" s="3">
        <f t="shared" si="1"/>
        <v>0.03391836913</v>
      </c>
    </row>
    <row r="192" ht="15.75" customHeight="1">
      <c r="A192" s="3">
        <f>$B$3*181/200</f>
        <v>0.4525</v>
      </c>
      <c r="B192" s="3">
        <f t="shared" si="2"/>
        <v>0.03964127525</v>
      </c>
      <c r="C192" s="3">
        <f t="shared" si="1"/>
        <v>0.03421699656</v>
      </c>
    </row>
    <row r="193" ht="15.75" customHeight="1">
      <c r="A193" s="3">
        <f>$B$3*182/200</f>
        <v>0.455</v>
      </c>
      <c r="B193" s="3">
        <f t="shared" si="2"/>
        <v>0.03967804393</v>
      </c>
      <c r="C193" s="3">
        <f t="shared" si="1"/>
        <v>0.03451667246</v>
      </c>
    </row>
    <row r="194" ht="15.75" customHeight="1">
      <c r="A194" s="3">
        <f>$B$3*183/200</f>
        <v>0.4575</v>
      </c>
      <c r="B194" s="3">
        <f t="shared" si="2"/>
        <v>0.03971282473</v>
      </c>
      <c r="C194" s="3">
        <f t="shared" si="1"/>
        <v>0.03481734782</v>
      </c>
    </row>
    <row r="195" ht="15.75" customHeight="1">
      <c r="A195" s="3">
        <f>$B$3*184/200</f>
        <v>0.46</v>
      </c>
      <c r="B195" s="3">
        <f t="shared" si="2"/>
        <v>0.03974561769</v>
      </c>
      <c r="C195" s="3">
        <f t="shared" si="1"/>
        <v>0.03511897422</v>
      </c>
    </row>
    <row r="196" ht="15.75" customHeight="1">
      <c r="A196" s="3">
        <f>$B$3*185/200</f>
        <v>0.4625</v>
      </c>
      <c r="B196" s="3">
        <f t="shared" si="2"/>
        <v>0.0397764229</v>
      </c>
      <c r="C196" s="3">
        <f t="shared" si="1"/>
        <v>0.03542150386</v>
      </c>
    </row>
    <row r="197" ht="15.75" customHeight="1">
      <c r="A197" s="3">
        <f>$B$3*186/200</f>
        <v>0.465</v>
      </c>
      <c r="B197" s="3">
        <f t="shared" si="2"/>
        <v>0.03980524039</v>
      </c>
      <c r="C197" s="3">
        <f t="shared" si="1"/>
        <v>0.03572488956</v>
      </c>
    </row>
    <row r="198" ht="15.75" customHeight="1">
      <c r="A198" s="3">
        <f>$B$3*187/200</f>
        <v>0.4675</v>
      </c>
      <c r="B198" s="3">
        <f t="shared" si="2"/>
        <v>0.03983207024</v>
      </c>
      <c r="C198" s="3">
        <f t="shared" si="1"/>
        <v>0.03602908487</v>
      </c>
    </row>
    <row r="199" ht="15.75" customHeight="1">
      <c r="A199" s="3">
        <f>$B$3*188/200</f>
        <v>0.47</v>
      </c>
      <c r="B199" s="3">
        <f t="shared" si="2"/>
        <v>0.03985691248</v>
      </c>
      <c r="C199" s="3">
        <f t="shared" si="1"/>
        <v>0.03633404404</v>
      </c>
    </row>
    <row r="200" ht="15.75" customHeight="1">
      <c r="A200" s="3">
        <f>$B$3*189/200</f>
        <v>0.4725</v>
      </c>
      <c r="B200" s="3">
        <f t="shared" si="2"/>
        <v>0.03987976718</v>
      </c>
      <c r="C200" s="3">
        <f t="shared" si="1"/>
        <v>0.03663972209</v>
      </c>
    </row>
    <row r="201" ht="15.75" customHeight="1">
      <c r="A201" s="3">
        <f>$B$3*190/200</f>
        <v>0.475</v>
      </c>
      <c r="B201" s="3">
        <f t="shared" si="2"/>
        <v>0.03990063436</v>
      </c>
      <c r="C201" s="3">
        <f t="shared" si="1"/>
        <v>0.0369460748</v>
      </c>
    </row>
    <row r="202" ht="15.75" customHeight="1">
      <c r="A202" s="3">
        <f>$B$3*191/200</f>
        <v>0.4775</v>
      </c>
      <c r="B202" s="3">
        <f t="shared" si="2"/>
        <v>0.03991951407</v>
      </c>
      <c r="C202" s="3">
        <f t="shared" si="1"/>
        <v>0.03725305873</v>
      </c>
    </row>
    <row r="203" ht="15.75" customHeight="1">
      <c r="A203" s="3">
        <f>$B$3*192/200</f>
        <v>0.48</v>
      </c>
      <c r="B203" s="3">
        <f t="shared" si="2"/>
        <v>0.03993640635</v>
      </c>
      <c r="C203" s="3">
        <f t="shared" si="1"/>
        <v>0.03756063127</v>
      </c>
    </row>
    <row r="204" ht="15.75" customHeight="1">
      <c r="A204" s="3">
        <f>$B$3*193/200</f>
        <v>0.4825</v>
      </c>
      <c r="B204" s="3">
        <f t="shared" si="2"/>
        <v>0.03995131123</v>
      </c>
      <c r="C204" s="3">
        <f t="shared" si="1"/>
        <v>0.03786875061</v>
      </c>
    </row>
    <row r="205" ht="15.75" customHeight="1">
      <c r="A205" s="3">
        <f>$B$3*194/200</f>
        <v>0.485</v>
      </c>
      <c r="B205" s="3">
        <f t="shared" si="2"/>
        <v>0.03996422873</v>
      </c>
      <c r="C205" s="3">
        <f t="shared" si="1"/>
        <v>0.03817737575</v>
      </c>
    </row>
    <row r="206" ht="15.75" customHeight="1">
      <c r="A206" s="3">
        <f>$B$3*195/200</f>
        <v>0.4875</v>
      </c>
      <c r="B206" s="3">
        <f t="shared" si="2"/>
        <v>0.03997515888</v>
      </c>
      <c r="C206" s="3">
        <f t="shared" si="1"/>
        <v>0.03848646653</v>
      </c>
    </row>
    <row r="207" ht="15.75" customHeight="1">
      <c r="A207" s="3">
        <f>$B$3*196/200</f>
        <v>0.49</v>
      </c>
      <c r="B207" s="3">
        <f t="shared" si="2"/>
        <v>0.03998410171</v>
      </c>
      <c r="C207" s="3">
        <f t="shared" si="1"/>
        <v>0.0387959836</v>
      </c>
    </row>
    <row r="208" ht="15.75" customHeight="1">
      <c r="A208" s="3">
        <f>$B$3*197/200</f>
        <v>0.4925</v>
      </c>
      <c r="B208" s="3">
        <f t="shared" si="2"/>
        <v>0.03999105722</v>
      </c>
      <c r="C208" s="3">
        <f t="shared" si="1"/>
        <v>0.03910588843</v>
      </c>
    </row>
    <row r="209" ht="15.75" customHeight="1">
      <c r="A209" s="3">
        <f>$B$3*198/200</f>
        <v>0.495</v>
      </c>
      <c r="B209" s="3">
        <f t="shared" si="2"/>
        <v>0.03999602543</v>
      </c>
      <c r="C209" s="3">
        <f t="shared" si="1"/>
        <v>0.03941614329</v>
      </c>
    </row>
    <row r="210" ht="15.75" customHeight="1">
      <c r="A210" s="3">
        <f>$B$3*199/200</f>
        <v>0.4975</v>
      </c>
      <c r="B210" s="3">
        <f t="shared" si="2"/>
        <v>0.03999900636</v>
      </c>
      <c r="C210" s="3">
        <f t="shared" si="1"/>
        <v>0.03972671128</v>
      </c>
    </row>
    <row r="211" ht="15.75" customHeight="1">
      <c r="A211" s="3">
        <f>$B$3*200/200</f>
        <v>0.5</v>
      </c>
      <c r="B211" s="3">
        <f t="shared" si="2"/>
        <v>0.04</v>
      </c>
      <c r="C211" s="3">
        <f t="shared" si="1"/>
        <v>0.04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3" t="s">
        <v>18</v>
      </c>
    </row>
    <row r="2">
      <c r="A2" s="3" t="s">
        <v>19</v>
      </c>
    </row>
    <row r="3">
      <c r="A3" s="2" t="s">
        <v>20</v>
      </c>
    </row>
    <row r="4">
      <c r="A4" s="3" t="s">
        <v>21</v>
      </c>
    </row>
    <row r="5">
      <c r="A5" s="3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2025-10-04T07:30:58Z</dcterms:created>
  <dc:creator>openpyxl</dc:creator>
</cp:coreProperties>
</file>