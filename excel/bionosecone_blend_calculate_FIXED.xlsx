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lend" sheetId="1" state="visible" r:id="rId1"/>
    <sheet xmlns:r="http://schemas.openxmlformats.org/officeDocument/2006/relationships" name="extra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" min="1" max="3"/>
    <col width="12" customWidth="1" style="5" min="4" max="5"/>
    <col width="14" customWidth="1" style="5" min="6" max="6"/>
    <col width="8.710000000000001" customWidth="1" style="5" min="7" max="26"/>
  </cols>
  <sheetData>
    <row r="1">
      <c r="A1" s="1" t="inlineStr">
        <is>
          <t>x_m</t>
        </is>
      </c>
      <c r="B1" s="1" t="inlineStr">
        <is>
          <t>r_eng_m</t>
        </is>
      </c>
      <c r="C1" s="1" t="inlineStr">
        <is>
          <t>r_bio_m</t>
        </is>
      </c>
      <c r="D1" s="1" t="inlineStr">
        <is>
          <t>L_m</t>
        </is>
      </c>
      <c r="E1" s="1" t="inlineStr">
        <is>
          <t>alpha_max</t>
        </is>
      </c>
      <c r="F1" s="1" t="inlineStr">
        <is>
          <t>r_blend_m</t>
        </is>
      </c>
      <c r="G1" s="4" t="inlineStr">
        <is>
          <t>t_smooth</t>
        </is>
      </c>
      <c r="H1" s="4" t="inlineStr">
        <is>
          <t>alpha_x</t>
        </is>
      </c>
    </row>
    <row r="2">
      <c r="A2" s="4">
        <f>$D$2*(0)/200</f>
        <v/>
      </c>
      <c r="B2" s="4" t="n">
        <v>0</v>
      </c>
      <c r="C2" s="4" t="n">
        <v>0.0001757477344936297</v>
      </c>
      <c r="D2" s="4">
        <f>extras!$B$3</f>
        <v/>
      </c>
      <c r="E2" s="4">
        <f>extras!$B$6</f>
        <v/>
      </c>
      <c r="F2" s="4">
        <f>(1-H2)*B2+H2*C2</f>
        <v/>
      </c>
      <c r="G2" s="4">
        <f>IF($D$2=0,0,MAX(0,MIN(1,(A2-extras!$E$3*$D$2)/(extras!$E$4*$D$2))))</f>
        <v/>
      </c>
      <c r="H2" s="4">
        <f>$E$2*(G2^2*(3-2*G2))</f>
        <v/>
      </c>
    </row>
    <row r="3">
      <c r="A3" s="4">
        <f>$D$2*(1)/200</f>
        <v/>
      </c>
      <c r="B3" s="4" t="n">
        <v>0.0004015440841143025</v>
      </c>
      <c r="C3" s="4" t="n">
        <v>0.0001895472233742181</v>
      </c>
      <c r="D3">
        <f>extras!$B$3</f>
        <v/>
      </c>
      <c r="E3">
        <f>extras!$B$6</f>
        <v/>
      </c>
      <c r="F3" s="4">
        <f>(1-H3)*B3+H3*C3</f>
        <v/>
      </c>
      <c r="G3" s="4">
        <f>IF($D$2=0,0,MAX(0,MIN(1,(A3-extras!$E$3*$D$2)/(extras!$E$4*$D$2))))</f>
        <v/>
      </c>
      <c r="H3" s="4">
        <f>$E$2*(G3^2*(3-2*G3))</f>
        <v/>
      </c>
    </row>
    <row r="4">
      <c r="A4" s="4">
        <f>$D$2*(2)/200</f>
        <v/>
      </c>
      <c r="B4" s="4" t="n">
        <v>0.0008010238906162037</v>
      </c>
      <c r="C4" s="4" t="n">
        <v>0.000206556834184591</v>
      </c>
      <c r="D4">
        <f>extras!$B$3</f>
        <v/>
      </c>
      <c r="E4">
        <f>extras!$B$6</f>
        <v/>
      </c>
      <c r="F4" s="4">
        <f>(1-H4)*B4+H4*C4</f>
        <v/>
      </c>
      <c r="G4" s="4">
        <f>IF($D$2=0,0,MAX(0,MIN(1,(A4-extras!$E$3*$D$2)/(extras!$E$4*$D$2))))</f>
        <v/>
      </c>
      <c r="H4" s="4">
        <f>$E$2*(G4^2*(3-2*G4))</f>
        <v/>
      </c>
    </row>
    <row r="5">
      <c r="A5" s="4">
        <f>$D$2*(3)/200</f>
        <v/>
      </c>
      <c r="B5" s="4" t="n">
        <v>0.001198440215949947</v>
      </c>
      <c r="C5" s="4" t="n">
        <v>0.0002268075794024689</v>
      </c>
      <c r="D5">
        <f>extras!$B$3</f>
        <v/>
      </c>
      <c r="E5">
        <f>extras!$B$6</f>
        <v/>
      </c>
      <c r="F5" s="4">
        <f>(1-H5)*B5+H5*C5</f>
        <v/>
      </c>
      <c r="G5" s="4">
        <f>IF($D$2=0,0,MAX(0,MIN(1,(A5-extras!$E$3*$D$2)/(extras!$E$4*$D$2))))</f>
        <v/>
      </c>
      <c r="H5" s="4">
        <f>$E$2*(G5^2*(3-2*G5))</f>
        <v/>
      </c>
    </row>
    <row r="6">
      <c r="A6" s="4">
        <f>$D$2*(4)/200</f>
        <v/>
      </c>
      <c r="B6" s="4" t="n">
        <v>0.001593793852038505</v>
      </c>
      <c r="C6" s="4" t="n">
        <v>0.0002503306606809272</v>
      </c>
      <c r="D6">
        <f>extras!$B$3</f>
        <v/>
      </c>
      <c r="E6">
        <f>extras!$B$6</f>
        <v/>
      </c>
      <c r="F6" s="4">
        <f>(1-H6)*B6+H6*C6</f>
        <v/>
      </c>
      <c r="G6" s="4">
        <f>IF($D$2=0,0,MAX(0,MIN(1,(A6-extras!$E$3*$D$2)/(extras!$E$4*$D$2))))</f>
        <v/>
      </c>
      <c r="H6" s="4">
        <f>$E$2*(G6^2*(3-2*G6))</f>
        <v/>
      </c>
    </row>
    <row r="7">
      <c r="A7" s="4">
        <f>$D$2*(5)/200</f>
        <v/>
      </c>
      <c r="B7" s="4" t="n">
        <v>0.001987085586292014</v>
      </c>
      <c r="C7" s="4" t="n">
        <v>0.0002771573919258256</v>
      </c>
      <c r="D7">
        <f>extras!$B$3</f>
        <v/>
      </c>
      <c r="E7">
        <f>extras!$B$6</f>
        <v/>
      </c>
      <c r="F7" s="4">
        <f>(1-H7)*B7+H7*C7</f>
        <v/>
      </c>
      <c r="G7" s="4">
        <f>IF($D$2=0,0,MAX(0,MIN(1,(A7-extras!$E$3*$D$2)/(extras!$E$4*$D$2))))</f>
        <v/>
      </c>
      <c r="H7" s="4">
        <f>$E$2*(G7^2*(3-2*G7))</f>
        <v/>
      </c>
    </row>
    <row r="8">
      <c r="A8" s="4">
        <f>$D$2*(6)/200</f>
        <v/>
      </c>
      <c r="B8" s="4" t="n">
        <v>0.002378316201617547</v>
      </c>
      <c r="C8" s="4" t="n">
        <v>0.0003073191159873212</v>
      </c>
      <c r="D8">
        <f>extras!$B$3</f>
        <v/>
      </c>
      <c r="E8">
        <f>extras!$B$6</f>
        <v/>
      </c>
      <c r="F8" s="4">
        <f>(1-H8)*B8+H8*C8</f>
        <v/>
      </c>
      <c r="G8" s="4">
        <f>IF($D$2=0,0,MAX(0,MIN(1,(A8-extras!$E$3*$D$2)/(extras!$E$4*$D$2))))</f>
        <v/>
      </c>
      <c r="H8" s="4">
        <f>$E$2*(G8^2*(3-2*G8))</f>
        <v/>
      </c>
    </row>
    <row r="9">
      <c r="A9" s="4">
        <f>$D$2*(7)/200</f>
        <v/>
      </c>
      <c r="B9" s="4" t="n">
        <v>0.002767486476425773</v>
      </c>
      <c r="C9" s="4" t="n">
        <v>0.000340847114922988</v>
      </c>
      <c r="D9">
        <f>extras!$B$3</f>
        <v/>
      </c>
      <c r="E9">
        <f>extras!$B$6</f>
        <v/>
      </c>
      <c r="F9" s="4">
        <f>(1-H9)*B9+H9*C9</f>
        <v/>
      </c>
      <c r="G9" s="4">
        <f>IF($D$2=0,0,MAX(0,MIN(1,(A9-extras!$E$3*$D$2)/(extras!$E$4*$D$2))))</f>
        <v/>
      </c>
      <c r="H9" s="4">
        <f>$E$2*(G9^2*(3-2*G9))</f>
        <v/>
      </c>
    </row>
    <row r="10">
      <c r="A10" s="4">
        <f>$D$2*(8)/200</f>
        <v/>
      </c>
      <c r="B10" s="4" t="n">
        <v>0.003154597184638508</v>
      </c>
      <c r="C10" s="4" t="n">
        <v>0.0003777725138228359</v>
      </c>
      <c r="D10">
        <f>extras!$B$3</f>
        <v/>
      </c>
      <c r="E10">
        <f>extras!$B$6</f>
        <v/>
      </c>
      <c r="F10" s="4">
        <f>(1-H10)*B10+H10*C10</f>
        <v/>
      </c>
      <c r="G10" s="4">
        <f>IF($D$2=0,0,MAX(0,MIN(1,(A10-extras!$E$3*$D$2)/(extras!$E$4*$D$2))))</f>
        <v/>
      </c>
      <c r="H10" s="4">
        <f>$E$2*(G10^2*(3-2*G10))</f>
        <v/>
      </c>
    </row>
    <row r="11">
      <c r="A11" s="4">
        <f>$D$2*(9)/200</f>
        <v/>
      </c>
      <c r="B11" s="4" t="n">
        <v>0.00353964909569715</v>
      </c>
      <c r="C11" s="4" t="n">
        <v>0.0004181261782221087</v>
      </c>
      <c r="D11">
        <f>extras!$B$3</f>
        <v/>
      </c>
      <c r="E11">
        <f>extras!$B$6</f>
        <v/>
      </c>
      <c r="F11" s="4">
        <f>(1-H11)*B11+H11*C11</f>
        <v/>
      </c>
      <c r="G11" s="4">
        <f>IF($D$2=0,0,MAX(0,MIN(1,(A11-extras!$E$3*$D$2)/(extras!$E$4*$D$2))))</f>
        <v/>
      </c>
      <c r="H11" s="4">
        <f>$E$2*(G11^2*(3-2*G11))</f>
        <v/>
      </c>
    </row>
    <row r="12">
      <c r="A12" s="4">
        <f>$D$2*(10)/200</f>
        <v/>
      </c>
      <c r="B12" s="4" t="n">
        <v>0.003922642974572454</v>
      </c>
      <c r="C12" s="4" t="n">
        <v>0.0004619386051650012</v>
      </c>
      <c r="D12">
        <f>extras!$B$3</f>
        <v/>
      </c>
      <c r="E12">
        <f>extras!$B$6</f>
        <v/>
      </c>
      <c r="F12" s="4">
        <f>(1-H12)*B12+H12*C12</f>
        <v/>
      </c>
      <c r="G12" s="4">
        <f>IF($D$2=0,0,MAX(0,MIN(1,(A12-extras!$E$3*$D$2)/(extras!$E$4*$D$2))))</f>
        <v/>
      </c>
      <c r="H12" s="4">
        <f>$E$2*(G12^2*(3-2*G12))</f>
        <v/>
      </c>
    </row>
    <row r="13">
      <c r="A13" s="4">
        <f>$D$2*(11)/200</f>
        <v/>
      </c>
      <c r="B13" s="4" t="n">
        <v>0.004303579581768968</v>
      </c>
      <c r="C13" s="4" t="n">
        <v>0.00050923980802225</v>
      </c>
      <c r="D13">
        <f>extras!$B$3</f>
        <v/>
      </c>
      <c r="E13">
        <f>extras!$B$6</f>
        <v/>
      </c>
      <c r="F13" s="4">
        <f>(1-H13)*B13+H13*C13</f>
        <v/>
      </c>
      <c r="G13" s="4">
        <f>IF($D$2=0,0,MAX(0,MIN(1,(A13-extras!$E$3*$D$2)/(extras!$E$4*$D$2))))</f>
        <v/>
      </c>
      <c r="H13" s="4">
        <f>$E$2*(G13^2*(3-2*G13))</f>
        <v/>
      </c>
    </row>
    <row r="14">
      <c r="A14" s="4">
        <f>$D$2*(12)/200</f>
        <v/>
      </c>
      <c r="B14" s="4" t="n">
        <v>0.004682459673334805</v>
      </c>
      <c r="C14" s="4" t="n">
        <v>0.0005600591952069545</v>
      </c>
      <c r="D14">
        <f>extras!$B$3</f>
        <v/>
      </c>
      <c r="E14">
        <f>extras!$B$6</f>
        <v/>
      </c>
      <c r="F14" s="4">
        <f>(1-H14)*B14+H14*C14</f>
        <v/>
      </c>
      <c r="G14" s="4">
        <f>IF($D$2=0,0,MAX(0,MIN(1,(A14-extras!$E$3*$D$2)/(extras!$E$4*$D$2))))</f>
        <v/>
      </c>
      <c r="H14" s="4">
        <f>$E$2*(G14^2*(3-2*G14))</f>
        <v/>
      </c>
    </row>
    <row r="15">
      <c r="A15" s="4">
        <f>$D$2*(13)/200</f>
        <v/>
      </c>
      <c r="B15" s="4" t="n">
        <v>0.005059284000869191</v>
      </c>
      <c r="C15" s="4" t="n">
        <v>0.000614425442976458</v>
      </c>
      <c r="D15">
        <f>extras!$B$3</f>
        <v/>
      </c>
      <c r="E15">
        <f>extras!$B$6</f>
        <v/>
      </c>
      <c r="F15" s="4">
        <f>(1-H15)*B15+H15*C15</f>
        <v/>
      </c>
      <c r="G15" s="4">
        <f>IF($D$2=0,0,MAX(0,MIN(1,(A15-extras!$E$3*$D$2)/(extras!$E$4*$D$2))))</f>
        <v/>
      </c>
      <c r="H15" s="4">
        <f>$E$2*(G15^2*(3-2*G15))</f>
        <v/>
      </c>
    </row>
    <row r="16">
      <c r="A16" s="4">
        <f>$D$2*(14)/200</f>
        <v/>
      </c>
      <c r="B16" s="4" t="n">
        <v>0.005434053311531351</v>
      </c>
      <c r="C16" s="4" t="n">
        <v>0.0006723663625529402</v>
      </c>
      <c r="D16">
        <f>extras!$B$3</f>
        <v/>
      </c>
      <c r="E16">
        <f>extras!$B$6</f>
        <v/>
      </c>
      <c r="F16" s="4">
        <f>(1-H16)*B16+H16*C16</f>
        <v/>
      </c>
      <c r="G16" s="4">
        <f>IF($D$2=0,0,MAX(0,MIN(1,(A16-extras!$E$3*$D$2)/(extras!$E$4*$D$2))))</f>
        <v/>
      </c>
      <c r="H16" s="4">
        <f>$E$2*(G16^2*(3-2*G16))</f>
        <v/>
      </c>
    </row>
    <row r="17">
      <c r="A17" s="4">
        <f>$D$2*(15)/200</f>
        <v/>
      </c>
      <c r="B17" s="4" t="n">
        <v>0.005806768348044056</v>
      </c>
      <c r="C17" s="4" t="n">
        <v>0.0007339087618416959</v>
      </c>
      <c r="D17">
        <f>extras!$B$3</f>
        <v/>
      </c>
      <c r="E17">
        <f>extras!$B$6</f>
        <v/>
      </c>
      <c r="F17" s="4">
        <f>(1-H17)*B17+H17*C17</f>
        <v/>
      </c>
      <c r="G17" s="4">
        <f>IF($D$2=0,0,MAX(0,MIN(1,(A17-extras!$E$3*$D$2)/(extras!$E$4*$D$2))))</f>
        <v/>
      </c>
      <c r="H17" s="4">
        <f>$E$2*(G17^2*(3-2*G17))</f>
        <v/>
      </c>
    </row>
    <row r="18">
      <c r="A18" s="4">
        <f>$D$2*(16)/200</f>
        <v/>
      </c>
      <c r="B18" s="4" t="n">
        <v>0.006177429848706062</v>
      </c>
      <c r="C18" s="4" t="n">
        <v>0.0007990783020734609</v>
      </c>
      <c r="D18">
        <f>extras!$B$3</f>
        <v/>
      </c>
      <c r="E18">
        <f>extras!$B$6</f>
        <v/>
      </c>
      <c r="F18" s="4">
        <f>(1-H18)*B18+H18*C18</f>
        <v/>
      </c>
      <c r="G18" s="4">
        <f>IF($D$2=0,0,MAX(0,MIN(1,(A18-extras!$E$3*$D$2)/(extras!$E$4*$D$2))))</f>
        <v/>
      </c>
      <c r="H18" s="4">
        <f>$E$2*(G18^2*(3-2*G18))</f>
        <v/>
      </c>
    </row>
    <row r="19">
      <c r="A19" s="4">
        <f>$D$2*(17)/200</f>
        <v/>
      </c>
      <c r="B19" s="4" t="n">
        <v>0.006546038547397437</v>
      </c>
      <c r="C19" s="4" t="n">
        <v>0.0008678993497454058</v>
      </c>
      <c r="D19">
        <f>extras!$B$3</f>
        <v/>
      </c>
      <c r="E19">
        <f>extras!$B$6</f>
        <v/>
      </c>
      <c r="F19" s="4">
        <f>(1-H19)*B19+H19*C19</f>
        <v/>
      </c>
      <c r="G19" s="4">
        <f>IF($D$2=0,0,MAX(0,MIN(1,(A19-extras!$E$3*$D$2)/(extras!$E$4*$D$2))))</f>
        <v/>
      </c>
      <c r="H19" s="4">
        <f>$E$2*(G19^2*(3-2*G19))</f>
        <v/>
      </c>
    </row>
    <row r="20">
      <c r="A20" s="4">
        <f>$D$2*(18)/200</f>
        <v/>
      </c>
      <c r="B20" s="4" t="n">
        <v>0.006912595173585778</v>
      </c>
      <c r="C20" s="4" t="n">
        <v>0.0009403948242841494</v>
      </c>
      <c r="D20">
        <f>extras!$B$3</f>
        <v/>
      </c>
      <c r="E20">
        <f>extras!$B$6</f>
        <v/>
      </c>
      <c r="F20" s="4">
        <f>(1-H20)*B20+H20*C20</f>
        <v/>
      </c>
      <c r="G20" s="4">
        <f>IF($D$2=0,0,MAX(0,MIN(1,(A20-extras!$E$3*$D$2)/(extras!$E$4*$D$2))))</f>
        <v/>
      </c>
      <c r="H20" s="4">
        <f>$E$2*(G20^2*(3-2*G20))</f>
        <v/>
      </c>
    </row>
    <row r="21" ht="15.75" customHeight="1" s="5">
      <c r="A21" s="4">
        <f>$D$2*(19)/200</f>
        <v/>
      </c>
      <c r="B21" s="4" t="n">
        <v>0.007277100452335983</v>
      </c>
      <c r="C21" s="4" t="n">
        <v>0.001016586041903245</v>
      </c>
      <c r="D21">
        <f>extras!$B$3</f>
        <v/>
      </c>
      <c r="E21">
        <f>extras!$B$6</f>
        <v/>
      </c>
      <c r="F21" s="4">
        <f>(1-H21)*B21+H21*C21</f>
        <v/>
      </c>
      <c r="G21" s="4">
        <f>IF($D$2=0,0,MAX(0,MIN(1,(A21-extras!$E$3*$D$2)/(extras!$E$4*$D$2))))</f>
        <v/>
      </c>
      <c r="H21" s="4">
        <f>$E$2*(G21^2*(3-2*G21))</f>
        <v/>
      </c>
    </row>
    <row r="22" ht="15.75" customHeight="1" s="5">
      <c r="A22" s="4">
        <f>$D$2*(20)/200</f>
        <v/>
      </c>
      <c r="B22" s="4" t="n">
        <v>0.007639555104316909</v>
      </c>
      <c r="C22" s="4" t="n">
        <v>0.001096492556176526</v>
      </c>
      <c r="D22">
        <f>extras!$B$3</f>
        <v/>
      </c>
      <c r="E22">
        <f>extras!$B$6</f>
        <v/>
      </c>
      <c r="F22" s="4">
        <f>(1-H22)*B22+H22*C22</f>
        <v/>
      </c>
      <c r="G22" s="4">
        <f>IF($D$2=0,0,MAX(0,MIN(1,(A22-extras!$E$3*$D$2)/(extras!$E$4*$D$2))))</f>
        <v/>
      </c>
      <c r="H22" s="4">
        <f>$E$2*(G22^2*(3-2*G22))</f>
        <v/>
      </c>
    </row>
    <row r="23" ht="15.75" customHeight="1" s="5">
      <c r="A23" s="4">
        <f>$D$2*(21)/200</f>
        <v/>
      </c>
      <c r="B23" s="4" t="n">
        <v>0.007999959845807592</v>
      </c>
      <c r="C23" s="4" t="n">
        <v>0.001180131995897044</v>
      </c>
      <c r="D23">
        <f>extras!$B$3</f>
        <v/>
      </c>
      <c r="E23">
        <f>extras!$B$6</f>
        <v/>
      </c>
      <c r="F23" s="4">
        <f>(1-H23)*B23+H23*C23</f>
        <v/>
      </c>
      <c r="G23" s="4">
        <f>IF($D$2=0,0,MAX(0,MIN(1,(A23-extras!$E$3*$D$2)/(extras!$E$4*$D$2))))</f>
        <v/>
      </c>
      <c r="H23" s="4">
        <f>$E$2*(G23^2*(3-2*G23))</f>
        <v/>
      </c>
    </row>
    <row r="24" ht="15.75" customHeight="1" s="5">
      <c r="A24" s="4">
        <f>$D$2*(22)/200</f>
        <v/>
      </c>
      <c r="B24" s="4" t="n">
        <v>0.008358315388706128</v>
      </c>
      <c r="C24" s="4" t="n">
        <v>0.00126751990083918</v>
      </c>
      <c r="D24">
        <f>extras!$B$3</f>
        <v/>
      </c>
      <c r="E24">
        <f>extras!$B$6</f>
        <v/>
      </c>
      <c r="F24" s="4">
        <f>(1-H24)*B24+H24*C24</f>
        <v/>
      </c>
      <c r="G24" s="4">
        <f>IF($D$2=0,0,MAX(0,MIN(1,(A24-extras!$E$3*$D$2)/(extras!$E$4*$D$2))))</f>
        <v/>
      </c>
      <c r="H24" s="4">
        <f>$E$2*(G24^2*(3-2*G24))</f>
        <v/>
      </c>
    </row>
    <row r="25" ht="15.75" customHeight="1" s="5">
      <c r="A25" s="4">
        <f>$D$2*(23)/200</f>
        <v/>
      </c>
      <c r="B25" s="4" t="n">
        <v>0.008714622440534558</v>
      </c>
      <c r="C25" s="4" t="n">
        <v>0.001358669556087807</v>
      </c>
      <c r="D25">
        <f>extras!$B$3</f>
        <v/>
      </c>
      <c r="E25">
        <f>extras!$B$6</f>
        <v/>
      </c>
      <c r="F25" s="4">
        <f>(1-H25)*B25+H25*C25</f>
        <v/>
      </c>
      <c r="G25" s="4">
        <f>IF($D$2=0,0,MAX(0,MIN(1,(A25-extras!$E$3*$D$2)/(extras!$E$4*$D$2))))</f>
        <v/>
      </c>
      <c r="H25" s="4">
        <f>$E$2*(G25^2*(3-2*G25))</f>
        <v/>
      </c>
    </row>
    <row r="26" ht="15.75" customHeight="1" s="5">
      <c r="A26" s="4">
        <f>$D$2*(24)/200</f>
        <v/>
      </c>
      <c r="B26" s="4" t="n">
        <v>0.009068881704449527</v>
      </c>
      <c r="C26" s="4" t="n">
        <v>0.001453591825643254</v>
      </c>
      <c r="D26">
        <f>extras!$B$3</f>
        <v/>
      </c>
      <c r="E26">
        <f>extras!$B$6</f>
        <v/>
      </c>
      <c r="F26" s="4">
        <f>(1-H26)*B26+H26*C26</f>
        <v/>
      </c>
      <c r="G26" s="4">
        <f>IF($D$2=0,0,MAX(0,MIN(1,(A26-extras!$E$3*$D$2)/(extras!$E$4*$D$2))))</f>
        <v/>
      </c>
      <c r="H26" s="4">
        <f>$E$2*(G26^2*(3-2*G26))</f>
        <v/>
      </c>
    </row>
    <row r="27" ht="15.75" customHeight="1" s="5">
      <c r="A27" s="4">
        <f>$D$2*(25)/200</f>
        <v/>
      </c>
      <c r="B27" s="4" t="n">
        <v>0.009421093879246278</v>
      </c>
      <c r="C27" s="4" t="n">
        <v>0.001552294986053585</v>
      </c>
      <c r="D27">
        <f>extras!$B$3</f>
        <v/>
      </c>
      <c r="E27">
        <f>extras!$B$6</f>
        <v/>
      </c>
      <c r="F27" s="4">
        <f>(1-H27)*B27+H27*C27</f>
        <v/>
      </c>
      <c r="G27" s="4">
        <f>IF($D$2=0,0,MAX(0,MIN(1,(A27-extras!$E$3*$D$2)/(extras!$E$4*$D$2))))</f>
        <v/>
      </c>
      <c r="H27" s="4">
        <f>$E$2*(G27^2*(3-2*G27))</f>
        <v/>
      </c>
    </row>
    <row r="28" ht="15.75" customHeight="1" s="5">
      <c r="A28" s="4">
        <f>$D$2*(26)/200</f>
        <v/>
      </c>
      <c r="B28" s="4" t="n">
        <v>0.009771259659367093</v>
      </c>
      <c r="C28" s="4" t="n">
        <v>0.001654784560866165</v>
      </c>
      <c r="D28">
        <f>extras!$B$3</f>
        <v/>
      </c>
      <c r="E28">
        <f>extras!$B$6</f>
        <v/>
      </c>
      <c r="F28" s="4">
        <f>(1-H28)*B28+H28*C28</f>
        <v/>
      </c>
      <c r="G28" s="4">
        <f>IF($D$2=0,0,MAX(0,MIN(1,(A28-extras!$E$3*$D$2)/(extras!$E$4*$D$2))))</f>
        <v/>
      </c>
      <c r="H28" s="4">
        <f>$E$2*(G28^2*(3-2*G28))</f>
        <v/>
      </c>
    </row>
    <row r="29" ht="15.75" customHeight="1" s="5">
      <c r="A29" s="4">
        <f>$D$2*(27)/200</f>
        <v/>
      </c>
      <c r="B29" s="4" t="n">
        <v>0.0101193797349084</v>
      </c>
      <c r="C29" s="4" t="n">
        <v>0.001761063156727921</v>
      </c>
      <c r="D29">
        <f>extras!$B$3</f>
        <v/>
      </c>
      <c r="E29">
        <f>extras!$B$6</f>
        <v/>
      </c>
      <c r="F29" s="4">
        <f>(1-H29)*B29+H29*C29</f>
        <v/>
      </c>
      <c r="G29" s="4">
        <f>IF($D$2=0,0,MAX(0,MIN(1,(A29-extras!$E$3*$D$2)/(extras!$E$4*$D$2))))</f>
        <v/>
      </c>
      <c r="H29" s="4">
        <f>$E$2*(G29^2*(3-2*G29))</f>
        <v/>
      </c>
    </row>
    <row r="30" ht="15.75" customHeight="1" s="5">
      <c r="A30" s="4">
        <f>$D$2*(28)/200</f>
        <v/>
      </c>
      <c r="B30" s="4" t="n">
        <v>0.01046545479162697</v>
      </c>
      <c r="C30" s="4" t="n">
        <v>0.00187113030199794</v>
      </c>
      <c r="D30">
        <f>extras!$B$3</f>
        <v/>
      </c>
      <c r="E30">
        <f>extras!$B$6</f>
        <v/>
      </c>
      <c r="F30" s="4">
        <f>(1-H30)*B30+H30*C30</f>
        <v/>
      </c>
      <c r="G30" s="4">
        <f>IF($D$2=0,0,MAX(0,MIN(1,(A30-extras!$E$3*$D$2)/(extras!$E$4*$D$2))))</f>
        <v/>
      </c>
      <c r="H30" s="4">
        <f>$E$2*(G30^2*(3-2*G30))</f>
        <v/>
      </c>
    </row>
    <row r="31" ht="15.75" customHeight="1" s="5">
      <c r="A31" s="4">
        <f>$D$2*(29)/200</f>
        <v/>
      </c>
      <c r="B31" s="4" t="n">
        <v>0.0108094855109484</v>
      </c>
      <c r="C31" s="4" t="n">
        <v>0.001984982288766629</v>
      </c>
      <c r="D31">
        <f>extras!$B$3</f>
        <v/>
      </c>
      <c r="E31">
        <f>extras!$B$6</f>
        <v/>
      </c>
      <c r="F31" s="4">
        <f>(1-H31)*B31+H31*C31</f>
        <v/>
      </c>
      <c r="G31" s="4">
        <f>IF($D$2=0,0,MAX(0,MIN(1,(A31-extras!$E$3*$D$2)/(extras!$E$4*$D$2))))</f>
        <v/>
      </c>
      <c r="H31" s="4">
        <f>$E$2*(G31^2*(3-2*G31))</f>
        <v/>
      </c>
    </row>
    <row r="32" ht="15.75" customHeight="1" s="5">
      <c r="A32" s="4">
        <f>$D$2*(30)/200</f>
        <v/>
      </c>
      <c r="B32" s="4" t="n">
        <v>0.01115147256997151</v>
      </c>
      <c r="C32" s="4" t="n">
        <v>0.002102612019202122</v>
      </c>
      <c r="D32">
        <f>extras!$B$3</f>
        <v/>
      </c>
      <c r="E32">
        <f>extras!$B$6</f>
        <v/>
      </c>
      <c r="F32" s="4">
        <f>(1-H32)*B32+H32*C32</f>
        <v/>
      </c>
      <c r="G32" s="4">
        <f>IF($D$2=0,0,MAX(0,MIN(1,(A32-extras!$E$3*$D$2)/(extras!$E$4*$D$2))))</f>
        <v/>
      </c>
      <c r="H32" s="4">
        <f>$E$2*(G32^2*(3-2*G32))</f>
        <v/>
      </c>
    </row>
    <row r="33" ht="15.75" customHeight="1" s="5">
      <c r="A33" s="4">
        <f>$D$2*(31)/200</f>
        <v/>
      </c>
      <c r="B33" s="4" t="n">
        <v>0.01149141664147724</v>
      </c>
      <c r="C33" s="4" t="n">
        <v>0.00222400885716654</v>
      </c>
      <c r="D33">
        <f>extras!$B$3</f>
        <v/>
      </c>
      <c r="E33">
        <f>extras!$B$6</f>
        <v/>
      </c>
      <c r="F33" s="4">
        <f>(1-H33)*B33+H33*C33</f>
        <v/>
      </c>
      <c r="G33" s="4">
        <f>IF($D$2=0,0,MAX(0,MIN(1,(A33-extras!$E$3*$D$2)/(extras!$E$4*$D$2))))</f>
        <v/>
      </c>
      <c r="H33" s="4">
        <f>$E$2*(G33^2*(3-2*G33))</f>
        <v/>
      </c>
    </row>
    <row r="34" ht="15.75" customHeight="1" s="5">
      <c r="A34" s="4">
        <f>$D$2*(32)/200</f>
        <v/>
      </c>
      <c r="B34" s="4" t="n">
        <v>0.01182931839393486</v>
      </c>
      <c r="C34" s="4" t="n">
        <v>0.00234915848606187</v>
      </c>
      <c r="D34">
        <f>extras!$B$3</f>
        <v/>
      </c>
      <c r="E34">
        <f>extras!$B$6</f>
        <v/>
      </c>
      <c r="F34" s="4">
        <f>(1-H34)*B34+H34*C34</f>
        <v/>
      </c>
      <c r="G34" s="4">
        <f>IF($D$2=0,0,MAX(0,MIN(1,(A34-extras!$E$3*$D$2)/(extras!$E$4*$D$2))))</f>
        <v/>
      </c>
      <c r="H34" s="4">
        <f>$E$2*(G34^2*(3-2*G34))</f>
        <v/>
      </c>
    </row>
    <row r="35" ht="15.75" customHeight="1" s="5">
      <c r="A35" s="4">
        <f>$D$2*(33)/200</f>
        <v/>
      </c>
      <c r="B35" s="4" t="n">
        <v>0.01216517849150867</v>
      </c>
      <c r="C35" s="4" t="n">
        <v>0.002478042773876985</v>
      </c>
      <c r="D35">
        <f>extras!$B$3</f>
        <v/>
      </c>
      <c r="E35">
        <f>extras!$B$6</f>
        <v/>
      </c>
      <c r="F35" s="4">
        <f>(1-H35)*B35+H35*C35</f>
        <v/>
      </c>
      <c r="G35" s="4">
        <f>IF($D$2=0,0,MAX(0,MIN(1,(A35-extras!$E$3*$D$2)/(extras!$E$4*$D$2))))</f>
        <v/>
      </c>
      <c r="H35" s="4">
        <f>$E$2*(G35^2*(3-2*G35))</f>
        <v/>
      </c>
    </row>
    <row r="36" ht="15.75" customHeight="1" s="5">
      <c r="A36" s="4">
        <f>$D$2*(34)/200</f>
        <v/>
      </c>
      <c r="B36" s="4" t="n">
        <v>0.01249899759406548</v>
      </c>
      <c r="C36" s="4" t="n">
        <v>0.002610639646413762</v>
      </c>
      <c r="D36">
        <f>extras!$B$3</f>
        <v/>
      </c>
      <c r="E36">
        <f>extras!$B$6</f>
        <v/>
      </c>
      <c r="F36" s="4">
        <f>(1-H36)*B36+H36*C36</f>
        <v/>
      </c>
      <c r="G36" s="4">
        <f>IF($D$2=0,0,MAX(0,MIN(1,(A36-extras!$E$3*$D$2)/(extras!$E$4*$D$2))))</f>
        <v/>
      </c>
      <c r="H36" s="4">
        <f>$E$2*(G36^2*(3-2*G36))</f>
        <v/>
      </c>
    </row>
    <row r="37" ht="15.75" customHeight="1" s="5">
      <c r="A37" s="4">
        <f>$D$2*(35)/200</f>
        <v/>
      </c>
      <c r="B37" s="4" t="n">
        <v>0.01283077635717778</v>
      </c>
      <c r="C37" s="4" t="n">
        <v>0.002746922969670567</v>
      </c>
      <c r="D37">
        <f>extras!$B$3</f>
        <v/>
      </c>
      <c r="E37">
        <f>extras!$B$6</f>
        <v/>
      </c>
      <c r="F37" s="4">
        <f>(1-H37)*B37+H37*C37</f>
        <v/>
      </c>
      <c r="G37" s="4">
        <f>IF($D$2=0,0,MAX(0,MIN(1,(A37-extras!$E$3*$D$2)/(extras!$E$4*$D$2))))</f>
        <v/>
      </c>
      <c r="H37" s="4">
        <f>$E$2*(G37^2*(3-2*G37))</f>
        <v/>
      </c>
    </row>
    <row r="38" ht="15.75" customHeight="1" s="5">
      <c r="A38" s="4">
        <f>$D$2*(36)/200</f>
        <v/>
      </c>
      <c r="B38" s="4" t="n">
        <v>0.01316051543213526</v>
      </c>
      <c r="C38" s="4" t="n">
        <v>0.002886862442355676</v>
      </c>
      <c r="D38">
        <f>extras!$B$3</f>
        <v/>
      </c>
      <c r="E38">
        <f>extras!$B$6</f>
        <v/>
      </c>
      <c r="F38" s="4">
        <f>(1-H38)*B38+H38*C38</f>
        <v/>
      </c>
      <c r="G38" s="4">
        <f>IF($D$2=0,0,MAX(0,MIN(1,(A38-extras!$E$3*$D$2)/(extras!$E$4*$D$2))))</f>
        <v/>
      </c>
      <c r="H38" s="4">
        <f>$E$2*(G38^2*(3-2*G38))</f>
        <v/>
      </c>
    </row>
    <row r="39" ht="15.75" customHeight="1" s="5">
      <c r="A39" s="4">
        <f>$D$2*(37)/200</f>
        <v/>
      </c>
      <c r="B39" s="4" t="n">
        <v>0.01348821546594925</v>
      </c>
      <c r="C39" s="4" t="n">
        <v>0.003030423499491139</v>
      </c>
      <c r="D39">
        <f>extras!$B$3</f>
        <v/>
      </c>
      <c r="E39">
        <f>extras!$B$6</f>
        <v/>
      </c>
      <c r="F39" s="4">
        <f>(1-H39)*B39+H39*C39</f>
        <v/>
      </c>
      <c r="G39" s="4">
        <f>IF($D$2=0,0,MAX(0,MIN(1,(A39-extras!$E$3*$D$2)/(extras!$E$4*$D$2))))</f>
        <v/>
      </c>
      <c r="H39" s="4">
        <f>$E$2*(G39^2*(3-2*G39))</f>
        <v/>
      </c>
    </row>
    <row r="40" ht="15.75" customHeight="1" s="5">
      <c r="A40" s="4">
        <f>$D$2*(38)/200</f>
        <v/>
      </c>
      <c r="B40" s="4" t="n">
        <v>0.01381387710135717</v>
      </c>
      <c r="C40" s="4" t="n">
        <v>0.003177567228048783</v>
      </c>
      <c r="D40">
        <f>extras!$B$3</f>
        <v/>
      </c>
      <c r="E40">
        <f>extras!$B$6</f>
        <v/>
      </c>
      <c r="F40" s="4">
        <f>(1-H40)*B40+H40*C40</f>
        <v/>
      </c>
      <c r="G40" s="4">
        <f>IF($D$2=0,0,MAX(0,MIN(1,(A40-extras!$E$3*$D$2)/(extras!$E$4*$D$2))))</f>
        <v/>
      </c>
      <c r="H40" s="4">
        <f>$E$2*(G40^2*(3-2*G40))</f>
        <v/>
      </c>
    </row>
    <row r="41" ht="15.75" customHeight="1" s="5">
      <c r="A41" s="4">
        <f>$D$2*(39)/200</f>
        <v/>
      </c>
      <c r="B41" s="4" t="n">
        <v>0.01413750097683275</v>
      </c>
      <c r="C41" s="4" t="n">
        <v>0.003328250295534647</v>
      </c>
      <c r="D41">
        <f>extras!$B$3</f>
        <v/>
      </c>
      <c r="E41">
        <f>extras!$B$6</f>
        <v/>
      </c>
      <c r="F41" s="4">
        <f>(1-H41)*B41+H41*C41</f>
        <v/>
      </c>
      <c r="G41" s="4">
        <f>IF($D$2=0,0,MAX(0,MIN(1,(A41-extras!$E$3*$D$2)/(extras!$E$4*$D$2))))</f>
        <v/>
      </c>
      <c r="H41" s="4">
        <f>$E$2*(G41^2*(3-2*G41))</f>
        <v/>
      </c>
    </row>
    <row r="42" ht="15.75" customHeight="1" s="5">
      <c r="A42" s="4">
        <f>$D$2*(40)/200</f>
        <v/>
      </c>
      <c r="B42" s="4" t="n">
        <v>0.01445908772658866</v>
      </c>
      <c r="C42" s="4" t="n">
        <v>0.003482424892405829</v>
      </c>
      <c r="D42">
        <f>extras!$B$3</f>
        <v/>
      </c>
      <c r="E42">
        <f>extras!$B$6</f>
        <v/>
      </c>
      <c r="F42" s="4">
        <f>(1-H42)*B42+H42*C42</f>
        <v/>
      </c>
      <c r="G42" s="4">
        <f>IF($D$2=0,0,MAX(0,MIN(1,(A42-extras!$E$3*$D$2)/(extras!$E$4*$D$2))))</f>
        <v/>
      </c>
      <c r="H42" s="4">
        <f>$E$2*(G42^2*(3-2*G42))</f>
        <v/>
      </c>
    </row>
    <row r="43" ht="15.75" customHeight="1" s="5">
      <c r="A43" s="4">
        <f>$D$2*(41)/200</f>
        <v/>
      </c>
      <c r="B43" s="4" t="n">
        <v>0.01477863798058632</v>
      </c>
      <c r="C43" s="4" t="n">
        <v>0.003640038689164403</v>
      </c>
      <c r="D43">
        <f>extras!$B$3</f>
        <v/>
      </c>
      <c r="E43">
        <f>extras!$B$6</f>
        <v/>
      </c>
      <c r="F43" s="4">
        <f>(1-H43)*B43+H43*C43</f>
        <v/>
      </c>
      <c r="G43" s="4">
        <f>IF($D$2=0,0,MAX(0,MIN(1,(A43-extras!$E$3*$D$2)/(extras!$E$4*$D$2))))</f>
        <v/>
      </c>
      <c r="H43" s="4">
        <f>$E$2*(G43^2*(3-2*G43))</f>
        <v/>
      </c>
    </row>
    <row r="44" ht="15.75" customHeight="1" s="5">
      <c r="A44" s="4">
        <f>$D$2*(42)/200</f>
        <v/>
      </c>
      <c r="B44" s="4" t="n">
        <v>0.01509615236453898</v>
      </c>
      <c r="C44" s="4" t="n">
        <v>0.003801034808926938</v>
      </c>
      <c r="D44">
        <f>extras!$B$3</f>
        <v/>
      </c>
      <c r="E44">
        <f>extras!$B$6</f>
        <v/>
      </c>
      <c r="F44" s="4">
        <f>(1-H44)*B44+H44*C44</f>
        <v/>
      </c>
      <c r="G44" s="4">
        <f>IF($D$2=0,0,MAX(0,MIN(1,(A44-extras!$E$3*$D$2)/(extras!$E$4*$D$2))))</f>
        <v/>
      </c>
      <c r="H44" s="4">
        <f>$E$2*(G44^2*(3-2*G44))</f>
        <v/>
      </c>
    </row>
    <row r="45" ht="15.75" customHeight="1" s="5">
      <c r="A45" s="4">
        <f>$D$2*(43)/200</f>
        <v/>
      </c>
      <c r="B45" s="4" t="n">
        <v>0.01541163149992153</v>
      </c>
      <c r="C45" s="4" t="n">
        <v>0.003965351816215009</v>
      </c>
      <c r="D45">
        <f>extras!$B$3</f>
        <v/>
      </c>
      <c r="E45">
        <f>extras!$B$6</f>
        <v/>
      </c>
      <c r="F45" s="4">
        <f>(1-H45)*B45+H45*C45</f>
        <v/>
      </c>
      <c r="G45" s="4">
        <f>IF($D$2=0,0,MAX(0,MIN(1,(A45-extras!$E$3*$D$2)/(extras!$E$4*$D$2))))</f>
        <v/>
      </c>
      <c r="H45" s="4">
        <f>$E$2*(G45^2*(3-2*G45))</f>
        <v/>
      </c>
    </row>
    <row r="46" ht="15.75" customHeight="1" s="5">
      <c r="A46" s="4">
        <f>$D$2*(44)/200</f>
        <v/>
      </c>
      <c r="B46" s="4" t="n">
        <v>0.01572507600397266</v>
      </c>
      <c r="C46" s="4" t="n">
        <v>0.004132923722652276</v>
      </c>
      <c r="D46">
        <f>extras!$B$3</f>
        <v/>
      </c>
      <c r="E46">
        <f>extras!$B$6</f>
        <v/>
      </c>
      <c r="F46" s="4">
        <f>(1-H46)*B46+H46*C46</f>
        <v/>
      </c>
      <c r="G46" s="4">
        <f>IF($D$2=0,0,MAX(0,MIN(1,(A46-extras!$E$3*$D$2)/(extras!$E$4*$D$2))))</f>
        <v/>
      </c>
      <c r="H46" s="4">
        <f>$E$2*(G46^2*(3-2*G46))</f>
        <v/>
      </c>
    </row>
    <row r="47" ht="15.75" customHeight="1" s="5">
      <c r="A47" s="4">
        <f>$D$2*(45)/200</f>
        <v/>
      </c>
      <c r="B47" s="4" t="n">
        <v>0.01603648648970468</v>
      </c>
      <c r="C47" s="4" t="n">
        <v>0.004303680010187091</v>
      </c>
      <c r="D47">
        <f>extras!$B$3</f>
        <v/>
      </c>
      <c r="E47">
        <f>extras!$B$6</f>
        <v/>
      </c>
      <c r="F47" s="4">
        <f>(1-H47)*B47+H47*C47</f>
        <v/>
      </c>
      <c r="G47" s="4">
        <f>IF($D$2=0,0,MAX(0,MIN(1,(A47-extras!$E$3*$D$2)/(extras!$E$4*$D$2))))</f>
        <v/>
      </c>
      <c r="H47" s="4">
        <f>$E$2*(G47^2*(3-2*G47))</f>
        <v/>
      </c>
    </row>
    <row r="48" ht="15.75" customHeight="1" s="5">
      <c r="A48" s="4">
        <f>$D$2*(46)/200</f>
        <v/>
      </c>
      <c r="B48" s="4" t="n">
        <v>0.0163458635659075</v>
      </c>
      <c r="C48" s="4" t="n">
        <v>0.00447754567238676</v>
      </c>
      <c r="D48">
        <f>extras!$B$3</f>
        <v/>
      </c>
      <c r="E48">
        <f>extras!$B$6</f>
        <v/>
      </c>
      <c r="F48" s="4">
        <f>(1-H48)*B48+H48*C48</f>
        <v/>
      </c>
      <c r="G48" s="4">
        <f>IF($D$2=0,0,MAX(0,MIN(1,(A48-extras!$E$3*$D$2)/(extras!$E$4*$D$2))))</f>
        <v/>
      </c>
      <c r="H48" s="4">
        <f>$E$2*(G48^2*(3-2*G48))</f>
        <v/>
      </c>
    </row>
    <row r="49" ht="15.75" customHeight="1" s="5">
      <c r="A49" s="4">
        <f>$D$2*(47)/200</f>
        <v/>
      </c>
      <c r="B49" s="4" t="n">
        <v>0.01665320783715529</v>
      </c>
      <c r="C49" s="4" t="n">
        <v>0.004654441274270388</v>
      </c>
      <c r="D49">
        <f>extras!$B$3</f>
        <v/>
      </c>
      <c r="E49">
        <f>extras!$B$6</f>
        <v/>
      </c>
      <c r="F49" s="4">
        <f>(1-H49)*B49+H49*C49</f>
        <v/>
      </c>
      <c r="G49" s="4">
        <f>IF($D$2=0,0,MAX(0,MIN(1,(A49-extras!$E$3*$D$2)/(extras!$E$4*$D$2))))</f>
        <v/>
      </c>
      <c r="H49" s="4">
        <f>$E$2*(G49^2*(3-2*G49))</f>
        <v/>
      </c>
    </row>
    <row r="50" ht="15.75" customHeight="1" s="5">
      <c r="A50" s="4">
        <f>$D$2*(48)/200</f>
        <v/>
      </c>
      <c r="B50" s="4" t="n">
        <v>0.01695851990381225</v>
      </c>
      <c r="C50" s="4" t="n">
        <v>0.004834283031062344</v>
      </c>
      <c r="D50">
        <f>extras!$B$3</f>
        <v/>
      </c>
      <c r="E50">
        <f>extras!$B$6</f>
        <v/>
      </c>
      <c r="F50" s="4">
        <f>(1-H50)*B50+H50*C50</f>
        <v/>
      </c>
      <c r="G50" s="4">
        <f>IF($D$2=0,0,MAX(0,MIN(1,(A50-extras!$E$3*$D$2)/(extras!$E$4*$D$2))))</f>
        <v/>
      </c>
      <c r="H50" s="4">
        <f>$E$2*(G50^2*(3-2*G50))</f>
        <v/>
      </c>
    </row>
    <row r="51" ht="15.75" customHeight="1" s="5">
      <c r="A51" s="4">
        <f>$D$2*(49)/200</f>
        <v/>
      </c>
      <c r="B51" s="4" t="n">
        <v>0.01726180036203884</v>
      </c>
      <c r="C51" s="4" t="n">
        <v>0.005016982906158155</v>
      </c>
      <c r="D51">
        <f>extras!$B$3</f>
        <v/>
      </c>
      <c r="E51">
        <f>extras!$B$6</f>
        <v/>
      </c>
      <c r="F51" s="4">
        <f>(1-H51)*B51+H51*C51</f>
        <v/>
      </c>
      <c r="G51" s="4">
        <f>IF($D$2=0,0,MAX(0,MIN(1,(A51-extras!$E$3*$D$2)/(extras!$E$4*$D$2))))</f>
        <v/>
      </c>
      <c r="H51" s="4">
        <f>$E$2*(G51^2*(3-2*G51))</f>
        <v/>
      </c>
    </row>
    <row r="52" ht="15.75" customHeight="1" s="5">
      <c r="A52" s="4">
        <f>$D$2*(50)/200</f>
        <v/>
      </c>
      <c r="B52" s="4" t="n">
        <v>0.01756304980379886</v>
      </c>
      <c r="C52" s="4" t="n">
        <v>0.005202448728499037</v>
      </c>
      <c r="D52">
        <f>extras!$B$3</f>
        <v/>
      </c>
      <c r="E52">
        <f>extras!$B$6</f>
        <v/>
      </c>
      <c r="F52" s="4">
        <f>(1-H52)*B52+H52*C52</f>
        <v/>
      </c>
      <c r="G52" s="4">
        <f>IF($D$2=0,0,MAX(0,MIN(1,(A52-extras!$E$3*$D$2)/(extras!$E$4*$D$2))))</f>
        <v/>
      </c>
      <c r="H52" s="4">
        <f>$E$2*(G52^2*(3-2*G52))</f>
        <v/>
      </c>
    </row>
    <row r="53" ht="15.75" customHeight="1" s="5">
      <c r="A53" s="4">
        <f>$D$2*(51)/200</f>
        <v/>
      </c>
      <c r="B53" s="4" t="n">
        <v>0.01786226881686215</v>
      </c>
      <c r="C53" s="4" t="n">
        <v>0.005390584329451783</v>
      </c>
      <c r="D53">
        <f>extras!$B$3</f>
        <v/>
      </c>
      <c r="E53">
        <f>extras!$B$6</f>
        <v/>
      </c>
      <c r="F53" s="4">
        <f>(1-H53)*B53+H53*C53</f>
        <v/>
      </c>
      <c r="G53" s="4">
        <f>IF($D$2=0,0,MAX(0,MIN(1,(A53-extras!$E$3*$D$2)/(extras!$E$4*$D$2))))</f>
        <v/>
      </c>
      <c r="H53" s="4">
        <f>$E$2*(G53^2*(3-2*G53))</f>
        <v/>
      </c>
    </row>
    <row r="54" ht="15.75" customHeight="1" s="5">
      <c r="A54" s="4">
        <f>$D$2*(52)/200</f>
        <v/>
      </c>
      <c r="B54" s="4" t="n">
        <v>0.01815945798481433</v>
      </c>
      <c r="C54" s="4" t="n">
        <v>0.005581289699186727</v>
      </c>
      <c r="D54">
        <f>extras!$B$3</f>
        <v/>
      </c>
      <c r="E54">
        <f>extras!$B$6</f>
        <v/>
      </c>
      <c r="F54" s="4">
        <f>(1-H54)*B54+H54*C54</f>
        <v/>
      </c>
      <c r="G54" s="4">
        <f>IF($D$2=0,0,MAX(0,MIN(1,(A54-extras!$E$3*$D$2)/(extras!$E$4*$D$2))))</f>
        <v/>
      </c>
      <c r="H54" s="4">
        <f>$E$2*(G54^2*(3-2*G54))</f>
        <v/>
      </c>
    </row>
    <row r="55" ht="15.75" customHeight="1" s="5">
      <c r="A55" s="4">
        <f>$D$2*(53)/200</f>
        <v/>
      </c>
      <c r="B55" s="4" t="n">
        <v>0.01845461788706038</v>
      </c>
      <c r="C55" s="4" t="n">
        <v>0.005774461162439513</v>
      </c>
      <c r="D55">
        <f>extras!$B$3</f>
        <v/>
      </c>
      <c r="E55">
        <f>extras!$B$6</f>
        <v/>
      </c>
      <c r="F55" s="4">
        <f>(1-H55)*B55+H55*C55</f>
        <v/>
      </c>
      <c r="G55" s="4">
        <f>IF($D$2=0,0,MAX(0,MIN(1,(A55-extras!$E$3*$D$2)/(extras!$E$4*$D$2))))</f>
        <v/>
      </c>
      <c r="H55" s="4">
        <f>$E$2*(G55^2*(3-2*G55))</f>
        <v/>
      </c>
    </row>
    <row r="56" ht="15.75" customHeight="1" s="5">
      <c r="A56" s="4">
        <f>$D$2*(54)/200</f>
        <v/>
      </c>
      <c r="B56" s="4" t="n">
        <v>0.01874774909882904</v>
      </c>
      <c r="C56" s="4" t="n">
        <v>0.005969991573432722</v>
      </c>
      <c r="D56">
        <f>extras!$B$3</f>
        <v/>
      </c>
      <c r="E56">
        <f>extras!$B$6</f>
        <v/>
      </c>
      <c r="F56" s="4">
        <f>(1-H56)*B56+H56*C56</f>
        <v/>
      </c>
      <c r="G56" s="4">
        <f>IF($D$2=0,0,MAX(0,MIN(1,(A56-extras!$E$3*$D$2)/(extras!$E$4*$D$2))))</f>
        <v/>
      </c>
      <c r="H56" s="4">
        <f>$E$2*(G56^2*(3-2*G56))</f>
        <v/>
      </c>
    </row>
    <row r="57" ht="15.75" customHeight="1" s="5">
      <c r="A57" s="4">
        <f>$D$2*(55)/200</f>
        <v/>
      </c>
      <c r="B57" s="4" t="n">
        <v>0.01903885219118262</v>
      </c>
      <c r="C57" s="4" t="n">
        <v>0.006167770529621492</v>
      </c>
      <c r="D57">
        <f>extras!$B$3</f>
        <v/>
      </c>
      <c r="E57">
        <f>extras!$B$6</f>
        <v/>
      </c>
      <c r="F57" s="4">
        <f>(1-H57)*B57+H57*C57</f>
        <v/>
      </c>
      <c r="G57" s="4">
        <f>IF($D$2=0,0,MAX(0,MIN(1,(A57-extras!$E$3*$D$2)/(extras!$E$4*$D$2))))</f>
        <v/>
      </c>
      <c r="H57" s="4">
        <f>$E$2*(G57^2*(3-2*G57))</f>
        <v/>
      </c>
    </row>
    <row r="58" ht="15.75" customHeight="1" s="5">
      <c r="A58" s="4">
        <f>$D$2*(56)/200</f>
        <v/>
      </c>
      <c r="B58" s="4" t="n">
        <v>0.01932792773101877</v>
      </c>
      <c r="C58" s="4" t="n">
        <v>0.006367684603814395</v>
      </c>
      <c r="D58">
        <f>extras!$B$3</f>
        <v/>
      </c>
      <c r="E58">
        <f>extras!$B$6</f>
        <v/>
      </c>
      <c r="F58" s="4">
        <f>(1-H58)*B58+H58*C58</f>
        <v/>
      </c>
      <c r="G58" s="4">
        <f>IF($D$2=0,0,MAX(0,MIN(1,(A58-extras!$E$3*$D$2)/(extras!$E$4*$D$2))))</f>
        <v/>
      </c>
      <c r="H58" s="4">
        <f>$E$2*(G58^2*(3-2*G58))</f>
        <v/>
      </c>
    </row>
    <row r="59" ht="15.75" customHeight="1" s="5">
      <c r="A59" s="4">
        <f>$D$2*(57)/200</f>
        <v/>
      </c>
      <c r="B59" s="4" t="n">
        <v>0.01961497628107756</v>
      </c>
      <c r="C59" s="4" t="n">
        <v>0.006569617594107246</v>
      </c>
      <c r="D59">
        <f>extras!$B$3</f>
        <v/>
      </c>
      <c r="E59">
        <f>extras!$B$6</f>
        <v/>
      </c>
      <c r="F59" s="4">
        <f>(1-H59)*B59+H59*C59</f>
        <v/>
      </c>
      <c r="G59" s="4">
        <f>IF($D$2=0,0,MAX(0,MIN(1,(A59-extras!$E$3*$D$2)/(extras!$E$4*$D$2))))</f>
        <v/>
      </c>
      <c r="H59" s="4">
        <f>$E$2*(G59^2*(3-2*G59))</f>
        <v/>
      </c>
    </row>
    <row r="60" ht="15.75" customHeight="1" s="5">
      <c r="A60" s="4">
        <f>$D$2*(58)/200</f>
        <v/>
      </c>
      <c r="B60" s="4" t="n">
        <v>0.01989999839994905</v>
      </c>
      <c r="C60" s="4" t="n">
        <v>0.006773450790954281</v>
      </c>
      <c r="D60">
        <f>extras!$B$3</f>
        <v/>
      </c>
      <c r="E60">
        <f>extras!$B$6</f>
        <v/>
      </c>
      <c r="F60" s="4">
        <f>(1-H60)*B60+H60*C60</f>
        <v/>
      </c>
      <c r="G60" s="4">
        <f>IF($D$2=0,0,MAX(0,MIN(1,(A60-extras!$E$3*$D$2)/(extras!$E$4*$D$2))))</f>
        <v/>
      </c>
      <c r="H60" s="4">
        <f>$E$2*(G60^2*(3-2*G60))</f>
        <v/>
      </c>
    </row>
    <row r="61" ht="15.75" customHeight="1" s="5">
      <c r="A61" s="4">
        <f>$D$2*(59)/200</f>
        <v/>
      </c>
      <c r="B61" s="4" t="n">
        <v>0.02018299464207374</v>
      </c>
      <c r="C61" s="4" t="n">
        <v>0.006979063260588914</v>
      </c>
      <c r="D61">
        <f>extras!$B$3</f>
        <v/>
      </c>
      <c r="E61">
        <f>extras!$B$6</f>
        <v/>
      </c>
      <c r="F61" s="4">
        <f>(1-H61)*B61+H61*C61</f>
        <v/>
      </c>
      <c r="G61" s="4">
        <f>IF($D$2=0,0,MAX(0,MIN(1,(A61-extras!$E$3*$D$2)/(extras!$E$4*$D$2))))</f>
        <v/>
      </c>
      <c r="H61" s="4">
        <f>$E$2*(G61^2*(3-2*G61))</f>
        <v/>
      </c>
    </row>
    <row r="62" ht="15.75" customHeight="1" s="5">
      <c r="A62" s="4">
        <f>$D$2*(60)/200</f>
        <v/>
      </c>
      <c r="B62" s="4" t="n">
        <v>0.02046396555775365</v>
      </c>
      <c r="C62" s="4" t="n">
        <v>0.007186332143896149</v>
      </c>
      <c r="D62">
        <f>extras!$B$3</f>
        <v/>
      </c>
      <c r="E62">
        <f>extras!$B$6</f>
        <v/>
      </c>
      <c r="F62" s="4">
        <f>(1-H62)*B62+H62*C62</f>
        <v/>
      </c>
      <c r="G62" s="4">
        <f>IF($D$2=0,0,MAX(0,MIN(1,(A62-extras!$E$3*$D$2)/(extras!$E$4*$D$2))))</f>
        <v/>
      </c>
      <c r="H62" s="4">
        <f>$E$2*(G62^2*(3-2*G62))</f>
        <v/>
      </c>
    </row>
    <row r="63" ht="15.75" customHeight="1" s="5">
      <c r="A63" s="4">
        <f>$D$2*(61)/200</f>
        <v/>
      </c>
      <c r="B63" s="4" t="n">
        <v>0.02074291169315501</v>
      </c>
      <c r="C63" s="4" t="n">
        <v>0.007395132969731015</v>
      </c>
      <c r="D63">
        <f>extras!$B$3</f>
        <v/>
      </c>
      <c r="E63">
        <f>extras!$B$6</f>
        <v/>
      </c>
      <c r="F63" s="4">
        <f>(1-H63)*B63+H63*C63</f>
        <v/>
      </c>
      <c r="G63" s="4">
        <f>IF($D$2=0,0,MAX(0,MIN(1,(A63-extras!$E$3*$D$2)/(extras!$E$4*$D$2))))</f>
        <v/>
      </c>
      <c r="H63" s="4">
        <f>$E$2*(G63^2*(3-2*G63))</f>
        <v/>
      </c>
    </row>
    <row r="64" ht="15.75" customHeight="1" s="5">
      <c r="A64" s="4">
        <f>$D$2*(62)/200</f>
        <v/>
      </c>
      <c r="B64" s="4" t="n">
        <v>0.02101983359031179</v>
      </c>
      <c r="C64" s="4" t="n">
        <v>0.007605339981573496</v>
      </c>
      <c r="D64">
        <f>extras!$B$3</f>
        <v/>
      </c>
      <c r="E64">
        <f>extras!$B$6</f>
        <v/>
      </c>
      <c r="F64" s="4">
        <f>(1-H64)*B64+H64*C64</f>
        <v/>
      </c>
      <c r="G64" s="4">
        <f>IF($D$2=0,0,MAX(0,MIN(1,(A64-extras!$E$3*$D$2)/(extras!$E$4*$D$2))))</f>
        <v/>
      </c>
      <c r="H64" s="4">
        <f>$E$2*(G64^2*(3-2*G64))</f>
        <v/>
      </c>
    </row>
    <row r="65" ht="15.75" customHeight="1" s="5">
      <c r="A65" s="4">
        <f>$D$2*(63)/200</f>
        <v/>
      </c>
      <c r="B65" s="4" t="n">
        <v>0.02129473178713592</v>
      </c>
      <c r="C65" s="4" t="n">
        <v>0.00781682647631075</v>
      </c>
      <c r="D65">
        <f>extras!$B$3</f>
        <v/>
      </c>
      <c r="E65">
        <f>extras!$B$6</f>
        <v/>
      </c>
      <c r="F65" s="4">
        <f>(1-H65)*B65+H65*C65</f>
        <v/>
      </c>
      <c r="G65" s="4">
        <f>IF($D$2=0,0,MAX(0,MIN(1,(A65-extras!$E$3*$D$2)/(extras!$E$4*$D$2))))</f>
        <v/>
      </c>
      <c r="H65" s="4">
        <f>$E$2*(G65^2*(3-2*G65))</f>
        <v/>
      </c>
    </row>
    <row r="66" ht="15.75" customHeight="1" s="5">
      <c r="A66" s="4">
        <f>$D$2*(64)/200</f>
        <v/>
      </c>
      <c r="B66" s="4" t="n">
        <v>0.02156760681741865</v>
      </c>
      <c r="C66" s="4" t="n">
        <v>0.00802946515384296</v>
      </c>
      <c r="D66">
        <f>extras!$B$3</f>
        <v/>
      </c>
      <c r="E66">
        <f>extras!$B$6</f>
        <v/>
      </c>
      <c r="F66" s="4">
        <f>(1-H66)*B66+H66*C66</f>
        <v/>
      </c>
      <c r="G66" s="4">
        <f>IF($D$2=0,0,MAX(0,MIN(1,(A66-extras!$E$3*$D$2)/(extras!$E$4*$D$2))))</f>
        <v/>
      </c>
      <c r="H66" s="4">
        <f>$E$2*(G66^2*(3-2*G66))</f>
        <v/>
      </c>
    </row>
    <row r="67" ht="15.75" customHeight="1" s="5">
      <c r="A67" s="4">
        <f>$D$2*(65)/200</f>
        <v/>
      </c>
      <c r="B67" s="4" t="n">
        <v>0.02183845921083716</v>
      </c>
      <c r="C67" s="4" t="n">
        <v>0.008243128476120656</v>
      </c>
      <c r="D67">
        <f>extras!$B$3</f>
        <v/>
      </c>
      <c r="E67">
        <f>extras!$B$6</f>
        <v/>
      </c>
      <c r="F67" s="4">
        <f>(1-H67)*B67+H67*C67</f>
        <v/>
      </c>
      <c r="G67" s="4">
        <f>IF($D$2=0,0,MAX(0,MIN(1,(A67-extras!$E$3*$D$2)/(extras!$E$4*$D$2))))</f>
        <v/>
      </c>
      <c r="H67" s="4">
        <f>$E$2*(G67^2*(3-2*G67))</f>
        <v/>
      </c>
    </row>
    <row r="68" ht="15.75" customHeight="1" s="5">
      <c r="A68" s="4">
        <f>$D$2*(66)/200</f>
        <v/>
      </c>
      <c r="B68" s="4" t="n">
        <v>0.02210728949295904</v>
      </c>
      <c r="C68" s="4" t="n">
        <v>0.008457689034139584</v>
      </c>
      <c r="D68">
        <f>extras!$B$3</f>
        <v/>
      </c>
      <c r="E68">
        <f>extras!$B$6</f>
        <v/>
      </c>
      <c r="F68" s="4">
        <f>(1-H68)*B68+H68*C68</f>
        <v/>
      </c>
      <c r="G68" s="4">
        <f>IF($D$2=0,0,MAX(0,MIN(1,(A68-extras!$E$3*$D$2)/(extras!$E$4*$D$2))))</f>
        <v/>
      </c>
      <c r="H68" s="4">
        <f>$E$2*(G68^2*(3-2*G68))</f>
        <v/>
      </c>
    </row>
    <row r="69" ht="15.75" customHeight="1" s="5">
      <c r="A69" s="4">
        <f>$D$2*(67)/200</f>
        <v/>
      </c>
      <c r="B69" s="4" t="n">
        <v>0.02237409818524938</v>
      </c>
      <c r="C69" s="4" t="n">
        <v>0.008673019921344737</v>
      </c>
      <c r="D69">
        <f>extras!$B$3</f>
        <v/>
      </c>
      <c r="E69">
        <f>extras!$B$6</f>
        <v/>
      </c>
      <c r="F69" s="4">
        <f>(1-H69)*B69+H69*C69</f>
        <v/>
      </c>
      <c r="G69" s="4">
        <f>IF($D$2=0,0,MAX(0,MIN(1,(A69-extras!$E$3*$D$2)/(extras!$E$4*$D$2))))</f>
        <v/>
      </c>
      <c r="H69" s="4">
        <f>$E$2*(G69^2*(3-2*G69))</f>
        <v/>
      </c>
    </row>
    <row r="70" ht="15.75" customHeight="1" s="5">
      <c r="A70" s="4">
        <f>$D$2*(68)/200</f>
        <v/>
      </c>
      <c r="B70" s="4" t="n">
        <v>0.02263888580507345</v>
      </c>
      <c r="C70" s="4" t="n">
        <v>0.008888995111829105</v>
      </c>
      <c r="D70">
        <f>extras!$B$3</f>
        <v/>
      </c>
      <c r="E70">
        <f>extras!$B$6</f>
        <v/>
      </c>
      <c r="F70" s="4">
        <f>(1-H70)*B70+H70*C70</f>
        <v/>
      </c>
      <c r="G70" s="4">
        <f>IF($D$2=0,0,MAX(0,MIN(1,(A70-extras!$E$3*$D$2)/(extras!$E$4*$D$2))))</f>
        <v/>
      </c>
      <c r="H70" s="4">
        <f>$E$2*(G70^2*(3-2*G70))</f>
        <v/>
      </c>
    </row>
    <row r="71" ht="15.75" customHeight="1" s="5">
      <c r="A71" s="4">
        <f>$D$2*(69)/200</f>
        <v/>
      </c>
      <c r="B71" s="4" t="n">
        <v>0.02290165286570334</v>
      </c>
      <c r="C71" s="4" t="n">
        <v>0.009105489841654952</v>
      </c>
      <c r="D71">
        <f>extras!$B$3</f>
        <v/>
      </c>
      <c r="E71">
        <f>extras!$B$6</f>
        <v/>
      </c>
      <c r="F71" s="4">
        <f>(1-H71)*B71+H71*C71</f>
        <v/>
      </c>
      <c r="G71" s="4">
        <f>IF($D$2=0,0,MAX(0,MIN(1,(A71-extras!$E$3*$D$2)/(extras!$E$4*$D$2))))</f>
        <v/>
      </c>
      <c r="H71" s="4">
        <f>$E$2*(G71^2*(3-2*G71))</f>
        <v/>
      </c>
    </row>
    <row r="72" ht="15.75" customHeight="1" s="5">
      <c r="A72" s="4">
        <f>$D$2*(70)/200</f>
        <v/>
      </c>
      <c r="B72" s="4" t="n">
        <v>0.02316239987632374</v>
      </c>
      <c r="C72" s="4" t="n">
        <v>0.009322380991577428</v>
      </c>
      <c r="D72">
        <f>extras!$B$3</f>
        <v/>
      </c>
      <c r="E72">
        <f>extras!$B$6</f>
        <v/>
      </c>
      <c r="F72" s="4">
        <f>(1-H72)*B72+H72*C72</f>
        <v/>
      </c>
      <c r="G72" s="4">
        <f>IF($D$2=0,0,MAX(0,MIN(1,(A72-extras!$E$3*$D$2)/(extras!$E$4*$D$2))))</f>
        <v/>
      </c>
      <c r="H72" s="4">
        <f>$E$2*(G72^2*(3-2*G72))</f>
        <v/>
      </c>
    </row>
    <row r="73" ht="15.75" customHeight="1" s="5">
      <c r="A73" s="4">
        <f>$D$2*(71)/200</f>
        <v/>
      </c>
      <c r="B73" s="4" t="n">
        <v>0.02342112734203372</v>
      </c>
      <c r="C73" s="4" t="n">
        <v>0.009539547469411828</v>
      </c>
      <c r="D73">
        <f>extras!$B$3</f>
        <v/>
      </c>
      <c r="E73">
        <f>extras!$B$6</f>
        <v/>
      </c>
      <c r="F73" s="4">
        <f>(1-H73)*B73+H73*C73</f>
        <v/>
      </c>
      <c r="G73" s="4">
        <f>IF($D$2=0,0,MAX(0,MIN(1,(A73-extras!$E$3*$D$2)/(extras!$E$4*$D$2))))</f>
        <v/>
      </c>
      <c r="H73" s="4">
        <f>$E$2*(G73^2*(3-2*G73))</f>
        <v/>
      </c>
    </row>
    <row r="74" ht="15.75" customHeight="1" s="5">
      <c r="A74" s="4">
        <f>$D$2*(72)/200</f>
        <v/>
      </c>
      <c r="B74" s="4" t="n">
        <v>0.02367783576385518</v>
      </c>
      <c r="C74" s="4" t="n">
        <v>0.009756870590257778</v>
      </c>
      <c r="D74">
        <f>extras!$B$3</f>
        <v/>
      </c>
      <c r="E74">
        <f>extras!$B$6</f>
        <v/>
      </c>
      <c r="F74" s="4">
        <f>(1-H74)*B74+H74*C74</f>
        <v/>
      </c>
      <c r="G74" s="4">
        <f>IF($D$2=0,0,MAX(0,MIN(1,(A74-extras!$E$3*$D$2)/(extras!$E$4*$D$2))))</f>
        <v/>
      </c>
      <c r="H74" s="4">
        <f>$E$2*(G74^2*(3-2*G74))</f>
        <v/>
      </c>
    </row>
    <row r="75" ht="15.75" customHeight="1" s="5">
      <c r="A75" s="4">
        <f>$D$2*(73)/200</f>
        <v/>
      </c>
      <c r="B75" s="4" t="n">
        <v>0.02393252563873638</v>
      </c>
      <c r="C75" s="4" t="n">
        <v>0.009974234452776034</v>
      </c>
      <c r="D75">
        <f>extras!$B$3</f>
        <v/>
      </c>
      <c r="E75">
        <f>extras!$B$6</f>
        <v/>
      </c>
      <c r="F75" s="4">
        <f>(1-H75)*B75+H75*C75</f>
        <v/>
      </c>
      <c r="G75" s="4">
        <f>IF($D$2=0,0,MAX(0,MIN(1,(A75-extras!$E$3*$D$2)/(extras!$E$4*$D$2))))</f>
        <v/>
      </c>
      <c r="H75" s="4">
        <f>$E$2*(G75^2*(3-2*G75))</f>
        <v/>
      </c>
    </row>
    <row r="76" ht="15.75" customHeight="1" s="5">
      <c r="A76" s="4">
        <f>$D$2*(74)/200</f>
        <v/>
      </c>
      <c r="B76" s="4" t="n">
        <v>0.02418519745955594</v>
      </c>
      <c r="C76" s="4" t="n">
        <v>0.01019152630970723</v>
      </c>
      <c r="D76">
        <f>extras!$B$3</f>
        <v/>
      </c>
      <c r="E76">
        <f>extras!$B$6</f>
        <v/>
      </c>
      <c r="F76" s="4">
        <f>(1-H76)*B76+H76*C76</f>
        <v/>
      </c>
      <c r="G76" s="4">
        <f>IF($D$2=0,0,MAX(0,MIN(1,(A76-extras!$E$3*$D$2)/(extras!$E$4*$D$2))))</f>
        <v/>
      </c>
      <c r="H76" s="4">
        <f>$E$2*(G76^2*(3-2*G76))</f>
        <v/>
      </c>
    </row>
    <row r="77" ht="15.75" customHeight="1" s="5">
      <c r="A77" s="4">
        <f>$D$2*(75)/200</f>
        <v/>
      </c>
      <c r="B77" s="4" t="n">
        <v>0.02443585171512996</v>
      </c>
      <c r="C77" s="4" t="n">
        <v>0.01040863693082631</v>
      </c>
      <c r="D77">
        <f>extras!$B$3</f>
        <v/>
      </c>
      <c r="E77">
        <f>extras!$B$6</f>
        <v/>
      </c>
      <c r="F77" s="4">
        <f>(1-H77)*B77+H77*C77</f>
        <v/>
      </c>
      <c r="G77" s="4">
        <f>IF($D$2=0,0,MAX(0,MIN(1,(A77-extras!$E$3*$D$2)/(extras!$E$4*$D$2))))</f>
        <v/>
      </c>
      <c r="H77" s="4">
        <f>$E$2*(G77^2*(3-2*G77))</f>
        <v/>
      </c>
    </row>
    <row r="78" ht="15.75" customHeight="1" s="5">
      <c r="A78" s="4">
        <f>$D$2*(76)/200</f>
        <v/>
      </c>
      <c r="B78" s="4" t="n">
        <v>0.02468448889021424</v>
      </c>
      <c r="C78" s="4" t="n">
        <v>0.01062546095654247</v>
      </c>
      <c r="D78">
        <f>extras!$B$3</f>
        <v/>
      </c>
      <c r="E78">
        <f>extras!$B$6</f>
        <v/>
      </c>
      <c r="F78" s="4">
        <f>(1-H78)*B78+H78*C78</f>
        <v/>
      </c>
      <c r="G78" s="4">
        <f>IF($D$2=0,0,MAX(0,MIN(1,(A78-extras!$E$3*$D$2)/(extras!$E$4*$D$2))))</f>
        <v/>
      </c>
      <c r="H78" s="4">
        <f>$E$2*(G78^2*(3-2*G78))</f>
        <v/>
      </c>
    </row>
    <row r="79" ht="15.75" customHeight="1" s="5">
      <c r="A79" s="4">
        <f>$D$2*(77)/200</f>
        <v/>
      </c>
      <c r="B79" s="4" t="n">
        <v>0.02493110946551047</v>
      </c>
      <c r="C79" s="4" t="n">
        <v>0.01084189724038151</v>
      </c>
      <c r="D79">
        <f>extras!$B$3</f>
        <v/>
      </c>
      <c r="E79">
        <f>extras!$B$6</f>
        <v/>
      </c>
      <c r="F79" s="4">
        <f>(1-H79)*B79+H79*C79</f>
        <v/>
      </c>
      <c r="G79" s="4">
        <f>IF($D$2=0,0,MAX(0,MIN(1,(A79-extras!$E$3*$D$2)/(extras!$E$4*$D$2))))</f>
        <v/>
      </c>
      <c r="H79" s="4">
        <f>$E$2*(G79^2*(3-2*G79))</f>
        <v/>
      </c>
    </row>
    <row r="80" ht="15.75" customHeight="1" s="5">
      <c r="A80" s="4">
        <f>$D$2*(78)/200</f>
        <v/>
      </c>
      <c r="B80" s="4" t="n">
        <v>0.02517571391767071</v>
      </c>
      <c r="C80" s="4" t="n">
        <v>0.01105784917862613</v>
      </c>
      <c r="D80">
        <f>extras!$B$3</f>
        <v/>
      </c>
      <c r="E80">
        <f>extras!$B$6</f>
        <v/>
      </c>
      <c r="F80" s="4">
        <f>(1-H80)*B80+H80*C80</f>
        <v/>
      </c>
      <c r="G80" s="4">
        <f>IF($D$2=0,0,MAX(0,MIN(1,(A80-extras!$E$3*$D$2)/(extras!$E$4*$D$2))))</f>
        <v/>
      </c>
      <c r="H80" s="4">
        <f>$E$2*(G80^2*(3-2*G80))</f>
        <v/>
      </c>
    </row>
    <row r="81" ht="15.75" customHeight="1" s="5">
      <c r="A81" s="4">
        <f>$D$2*(79)/200</f>
        <v/>
      </c>
      <c r="B81" s="4" t="n">
        <v>0.02541830271930268</v>
      </c>
      <c r="C81" s="4" t="n">
        <v>0.01127322502543918</v>
      </c>
      <c r="D81">
        <f>extras!$B$3</f>
        <v/>
      </c>
      <c r="E81">
        <f>extras!$B$6</f>
        <v/>
      </c>
      <c r="F81" s="4">
        <f>(1-H81)*B81+H81*C81</f>
        <v/>
      </c>
      <c r="G81" s="4">
        <f>IF($D$2=0,0,MAX(0,MIN(1,(A81-extras!$E$3*$D$2)/(extras!$E$4*$D$2))))</f>
        <v/>
      </c>
      <c r="H81" s="4">
        <f>$E$2*(G81^2*(3-2*G81))</f>
        <v/>
      </c>
    </row>
    <row r="82" ht="15.75" customHeight="1" s="5">
      <c r="A82" s="4">
        <f>$D$2*(80)/200</f>
        <v/>
      </c>
      <c r="B82" s="4" t="n">
        <v>0.0256588763389729</v>
      </c>
      <c r="C82" s="4" t="n">
        <v>0.01148793819185593</v>
      </c>
      <c r="D82">
        <f>extras!$B$3</f>
        <v/>
      </c>
      <c r="E82">
        <f>extras!$B$6</f>
        <v/>
      </c>
      <c r="F82" s="4">
        <f>(1-H82)*B82+H82*C82</f>
        <v/>
      </c>
      <c r="G82" s="4">
        <f>IF($D$2=0,0,MAX(0,MIN(1,(A82-extras!$E$3*$D$2)/(extras!$E$4*$D$2))))</f>
        <v/>
      </c>
      <c r="H82" s="4">
        <f>$E$2*(G82^2*(3-2*G82))</f>
        <v/>
      </c>
    </row>
    <row r="83" ht="15.75" customHeight="1" s="5">
      <c r="A83" s="4">
        <f>$D$2*(81)/200</f>
        <v/>
      </c>
      <c r="B83" s="4" t="n">
        <v>0.02589743524121246</v>
      </c>
      <c r="C83" s="4" t="n">
        <v>0.011701907527102</v>
      </c>
      <c r="D83">
        <f>extras!$B$3</f>
        <v/>
      </c>
      <c r="E83">
        <f>extras!$B$6</f>
        <v/>
      </c>
      <c r="F83" s="4">
        <f>(1-H83)*B83+H83*C83</f>
        <v/>
      </c>
      <c r="G83" s="4">
        <f>IF($D$2=0,0,MAX(0,MIN(1,(A83-extras!$E$3*$D$2)/(extras!$E$4*$D$2))))</f>
        <v/>
      </c>
      <c r="H83" s="4">
        <f>$E$2*(G83^2*(3-2*G83))</f>
        <v/>
      </c>
    </row>
    <row r="84" ht="15.75" customHeight="1" s="5">
      <c r="A84" s="4">
        <f>$D$2*(82)/200</f>
        <v/>
      </c>
      <c r="B84" s="4" t="n">
        <v>0.02613397988652055</v>
      </c>
      <c r="C84" s="4" t="n">
        <v>0.01191505758077576</v>
      </c>
      <c r="D84">
        <f>extras!$B$3</f>
        <v/>
      </c>
      <c r="E84">
        <f>extras!$B$6</f>
        <v/>
      </c>
      <c r="F84" s="4">
        <f>(1-H84)*B84+H84*C84</f>
        <v/>
      </c>
      <c r="G84" s="4">
        <f>IF($D$2=0,0,MAX(0,MIN(1,(A84-extras!$E$3*$D$2)/(extras!$E$4*$D$2))))</f>
        <v/>
      </c>
      <c r="H84" s="4">
        <f>$E$2*(G84^2*(3-2*G84))</f>
        <v/>
      </c>
    </row>
    <row r="85" ht="15.75" customHeight="1" s="5">
      <c r="A85" s="4">
        <f>$D$2*(83)/200</f>
        <v/>
      </c>
      <c r="B85" s="4" t="n">
        <v>0.0263685107313707</v>
      </c>
      <c r="C85" s="4" t="n">
        <v>0.01212731884452501</v>
      </c>
      <c r="D85">
        <f>extras!$B$3</f>
        <v/>
      </c>
      <c r="E85">
        <f>extras!$B$6</f>
        <v/>
      </c>
      <c r="F85" s="4">
        <f>(1-H85)*B85+H85*C85</f>
        <v/>
      </c>
      <c r="G85" s="4">
        <f>IF($D$2=0,0,MAX(0,MIN(1,(A85-extras!$E$3*$D$2)/(extras!$E$4*$D$2))))</f>
        <v/>
      </c>
      <c r="H85" s="4">
        <f>$E$2*(G85^2*(3-2*G85))</f>
        <v/>
      </c>
    </row>
    <row r="86" ht="15.75" customHeight="1" s="5">
      <c r="A86" s="4">
        <f>$D$2*(84)/200</f>
        <v/>
      </c>
      <c r="B86" s="4" t="n">
        <v>0.02660102822821298</v>
      </c>
      <c r="C86" s="4" t="n">
        <v>0.01233862797194805</v>
      </c>
      <c r="D86">
        <f>extras!$B$3</f>
        <v/>
      </c>
      <c r="E86">
        <f>extras!$B$6</f>
        <v/>
      </c>
      <c r="F86" s="4">
        <f>(1-H86)*B86+H86*C86</f>
        <v/>
      </c>
      <c r="G86" s="4">
        <f>IF($D$2=0,0,MAX(0,MIN(1,(A86-extras!$E$3*$D$2)/(extras!$E$4*$D$2))))</f>
        <v/>
      </c>
      <c r="H86" s="4">
        <f>$E$2*(G86^2*(3-2*G86))</f>
        <v/>
      </c>
    </row>
    <row r="87" ht="15.75" customHeight="1" s="5">
      <c r="A87" s="4">
        <f>$D$2*(85)/200</f>
        <v/>
      </c>
      <c r="B87" s="4" t="n">
        <v>0.02683153282548112</v>
      </c>
      <c r="C87" s="4" t="n">
        <v>0.01254892797555885</v>
      </c>
      <c r="D87">
        <f>extras!$B$3</f>
        <v/>
      </c>
      <c r="E87">
        <f>extras!$B$6</f>
        <v/>
      </c>
      <c r="F87" s="4">
        <f>(1-H87)*B87+H87*C87</f>
        <v/>
      </c>
      <c r="G87" s="4">
        <f>IF($D$2=0,0,MAX(0,MIN(1,(A87-extras!$E$3*$D$2)/(extras!$E$4*$D$2))))</f>
        <v/>
      </c>
      <c r="H87" s="4">
        <f>$E$2*(G87^2*(3-2*G87))</f>
        <v/>
      </c>
    </row>
    <row r="88" ht="15.75" customHeight="1" s="5">
      <c r="A88" s="4">
        <f>$D$2*(86)/200</f>
        <v/>
      </c>
      <c r="B88" s="4" t="n">
        <v>0.02706002496759341</v>
      </c>
      <c r="C88" s="4" t="n">
        <v>0.01275816839977257</v>
      </c>
      <c r="D88">
        <f>extras!$B$3</f>
        <v/>
      </c>
      <c r="E88">
        <f>extras!$B$6</f>
        <v/>
      </c>
      <c r="F88" s="4">
        <f>(1-H88)*B88+H88*C88</f>
        <v/>
      </c>
      <c r="G88" s="4">
        <f>IF($D$2=0,0,MAX(0,MIN(1,(A88-extras!$E$3*$D$2)/(extras!$E$4*$D$2))))</f>
        <v/>
      </c>
      <c r="H88" s="4">
        <f>$E$2*(G88^2*(3-2*G88))</f>
        <v/>
      </c>
    </row>
    <row r="89" ht="15.75" customHeight="1" s="5">
      <c r="A89" s="4">
        <f>$D$2*(87)/200</f>
        <v/>
      </c>
      <c r="B89" s="4" t="n">
        <v>0.02728650509496022</v>
      </c>
      <c r="C89" s="4" t="n">
        <v>0.0129663054689921</v>
      </c>
      <c r="D89">
        <f>extras!$B$3</f>
        <v/>
      </c>
      <c r="E89">
        <f>extras!$B$6</f>
        <v/>
      </c>
      <c r="F89" s="4">
        <f>(1-H89)*B89+H89*C89</f>
        <v/>
      </c>
      <c r="G89" s="4">
        <f>IF($D$2=0,0,MAX(0,MIN(1,(A89-extras!$E$3*$D$2)/(extras!$E$4*$D$2))))</f>
        <v/>
      </c>
      <c r="H89" s="4">
        <f>$E$2*(G89^2*(3-2*G89))</f>
        <v/>
      </c>
    </row>
    <row r="90" ht="15.75" customHeight="1" s="5">
      <c r="A90" s="4">
        <f>$D$2*(88)/200</f>
        <v/>
      </c>
      <c r="B90" s="4" t="n">
        <v>0.02751097364398714</v>
      </c>
      <c r="C90" s="4" t="n">
        <v>0.01317330221000655</v>
      </c>
      <c r="D90">
        <f>extras!$B$3</f>
        <v/>
      </c>
      <c r="E90">
        <f>extras!$B$6</f>
        <v/>
      </c>
      <c r="F90" s="4">
        <f>(1-H90)*B90+H90*C90</f>
        <v/>
      </c>
      <c r="G90" s="4">
        <f>IF($D$2=0,0,MAX(0,MIN(1,(A90-extras!$E$3*$D$2)/(extras!$E$4*$D$2))))</f>
        <v/>
      </c>
      <c r="H90" s="4">
        <f>$E$2*(G90^2*(3-2*G90))</f>
        <v/>
      </c>
    </row>
    <row r="91" ht="15.75" customHeight="1" s="5">
      <c r="A91" s="4">
        <f>$D$2*(89)/200</f>
        <v/>
      </c>
      <c r="B91" s="4" t="n">
        <v>0.02773343104707848</v>
      </c>
      <c r="C91" s="4" t="n">
        <v>0.01337912854804874</v>
      </c>
      <c r="D91">
        <f>extras!$B$3</f>
        <v/>
      </c>
      <c r="E91">
        <f>extras!$B$6</f>
        <v/>
      </c>
      <c r="F91" s="4">
        <f>(1-H91)*B91+H91*C91</f>
        <v/>
      </c>
      <c r="G91" s="4">
        <f>IF($D$2=0,0,MAX(0,MIN(1,(A91-extras!$E$3*$D$2)/(extras!$E$4*$D$2))))</f>
        <v/>
      </c>
      <c r="H91" s="4">
        <f>$E$2*(G91^2*(3-2*G91))</f>
        <v/>
      </c>
    </row>
    <row r="92" ht="15.75" customHeight="1" s="5">
      <c r="A92" s="4">
        <f>$D$2*(90)/200</f>
        <v/>
      </c>
      <c r="B92" s="4" t="n">
        <v>0.02795387773264224</v>
      </c>
      <c r="C92" s="4" t="n">
        <v>0.01358376137599876</v>
      </c>
      <c r="D92">
        <f>extras!$B$3</f>
        <v/>
      </c>
      <c r="E92">
        <f>extras!$B$6</f>
        <v/>
      </c>
      <c r="F92" s="4">
        <f>(1-H92)*B92+H92*C92</f>
        <v/>
      </c>
      <c r="G92" s="4">
        <f>IF($D$2=0,0,MAX(0,MIN(1,(A92-extras!$E$3*$D$2)/(extras!$E$4*$D$2))))</f>
        <v/>
      </c>
      <c r="H92" s="4">
        <f>$E$2*(G92^2*(3-2*G92))</f>
        <v/>
      </c>
    </row>
    <row r="93" ht="15.75" customHeight="1" s="5">
      <c r="A93" s="4">
        <f>$D$2*(91)/200</f>
        <v/>
      </c>
      <c r="B93" s="4" t="n">
        <v>0.02817231412509491</v>
      </c>
      <c r="C93" s="4" t="n">
        <v>0.01378718459636493</v>
      </c>
      <c r="D93">
        <f>extras!$B$3</f>
        <v/>
      </c>
      <c r="E93">
        <f>extras!$B$6</f>
        <v/>
      </c>
      <c r="F93" s="4">
        <f>(1-H93)*B93+H93*C93</f>
        <v/>
      </c>
      <c r="G93" s="4">
        <f>IF($D$2=0,0,MAX(0,MIN(1,(A93-extras!$E$3*$D$2)/(extras!$E$4*$D$2))))</f>
        <v/>
      </c>
      <c r="H93" s="4">
        <f>$E$2*(G93^2*(3-2*G93))</f>
        <v/>
      </c>
    </row>
    <row r="94" ht="15.75" customHeight="1" s="5">
      <c r="A94" s="4">
        <f>$D$2*(92)/200</f>
        <v/>
      </c>
      <c r="B94" s="4" t="n">
        <v>0.02838874064486285</v>
      </c>
      <c r="C94" s="4" t="n">
        <v>0.01398938913581974</v>
      </c>
      <c r="D94">
        <f>extras!$B$3</f>
        <v/>
      </c>
      <c r="E94">
        <f>extras!$B$6</f>
        <v/>
      </c>
      <c r="F94" s="4">
        <f>(1-H94)*B94+H94*C94</f>
        <v/>
      </c>
      <c r="G94" s="4">
        <f>IF($D$2=0,0,MAX(0,MIN(1,(A94-extras!$E$3*$D$2)/(extras!$E$4*$D$2))))</f>
        <v/>
      </c>
      <c r="H94" s="4">
        <f>$E$2*(G94^2*(3-2*G94))</f>
        <v/>
      </c>
    </row>
    <row r="95" ht="15.75" customHeight="1" s="5">
      <c r="A95" s="4">
        <f>$D$2*(93)/200</f>
        <v/>
      </c>
      <c r="B95" s="4" t="n">
        <v>0.02860315770839117</v>
      </c>
      <c r="C95" s="4" t="n">
        <v>0.0141903729322166</v>
      </c>
      <c r="D95">
        <f>extras!$B$3</f>
        <v/>
      </c>
      <c r="E95">
        <f>extras!$B$6</f>
        <v/>
      </c>
      <c r="F95" s="4">
        <f>(1-H95)*B95+H95*C95</f>
        <v/>
      </c>
      <c r="G95" s="4">
        <f>IF($D$2=0,0,MAX(0,MIN(1,(A95-extras!$E$3*$D$2)/(extras!$E$4*$D$2))))</f>
        <v/>
      </c>
      <c r="H95" s="4">
        <f>$E$2*(G95^2*(3-2*G95))</f>
        <v/>
      </c>
    </row>
    <row r="96" ht="15.75" customHeight="1" s="5">
      <c r="A96" s="4">
        <f>$D$2*(94)/200</f>
        <v/>
      </c>
      <c r="B96" s="4" t="n">
        <v>0.02881556572814281</v>
      </c>
      <c r="C96" s="4" t="n">
        <v>0.01439014089416137</v>
      </c>
      <c r="D96">
        <f>extras!$B$3</f>
        <v/>
      </c>
      <c r="E96">
        <f>extras!$B$6</f>
        <v/>
      </c>
      <c r="F96" s="4">
        <f>(1-H96)*B96+H96*C96</f>
        <v/>
      </c>
      <c r="G96" s="4">
        <f>IF($D$2=0,0,MAX(0,MIN(1,(A96-extras!$E$3*$D$2)/(extras!$E$4*$D$2))))</f>
        <v/>
      </c>
      <c r="H96" s="4">
        <f>$E$2*(G96^2*(3-2*G96))</f>
        <v/>
      </c>
    </row>
    <row r="97" ht="15.75" customHeight="1" s="5">
      <c r="A97" s="4">
        <f>$D$2*(95)/200</f>
        <v/>
      </c>
      <c r="B97" s="4" t="n">
        <v>0.02902596511260613</v>
      </c>
      <c r="C97" s="4" t="n">
        <v>0.01458870483336123</v>
      </c>
      <c r="D97">
        <f>extras!$B$3</f>
        <v/>
      </c>
      <c r="E97">
        <f>extras!$B$6</f>
        <v/>
      </c>
      <c r="F97" s="4">
        <f>(1-H97)*B97+H97*C97</f>
        <v/>
      </c>
      <c r="G97" s="4">
        <f>IF($D$2=0,0,MAX(0,MIN(1,(A97-extras!$E$3*$D$2)/(extras!$E$4*$D$2))))</f>
        <v/>
      </c>
      <c r="H97" s="4">
        <f>$E$2*(G97^2*(3-2*G97))</f>
        <v/>
      </c>
    </row>
    <row r="98" ht="15.75" customHeight="1" s="5">
      <c r="A98" s="4">
        <f>$D$2*(96)/200</f>
        <v/>
      </c>
      <c r="B98" s="4" t="n">
        <v>0.02923435626629578</v>
      </c>
      <c r="C98" s="4" t="n">
        <v>0.0147860833701192</v>
      </c>
      <c r="D98">
        <f>extras!$B$3</f>
        <v/>
      </c>
      <c r="E98">
        <f>extras!$B$6</f>
        <v/>
      </c>
      <c r="F98" s="4">
        <f>(1-H98)*B98+H98*C98</f>
        <v/>
      </c>
      <c r="G98" s="4">
        <f>IF($D$2=0,0,MAX(0,MIN(1,(A98-extras!$E$3*$D$2)/(extras!$E$4*$D$2))))</f>
        <v/>
      </c>
      <c r="H98" s="4">
        <f>$E$2*(G98^2*(3-2*G98))</f>
        <v/>
      </c>
    </row>
    <row r="99" ht="15.75" customHeight="1" s="5">
      <c r="A99" s="4">
        <f>$D$2*(97)/200</f>
        <v/>
      </c>
      <c r="B99" s="4" t="n">
        <v>0.02944073958975979</v>
      </c>
      <c r="C99" s="4" t="n">
        <v>0.01498230181248744</v>
      </c>
      <c r="D99">
        <f>extras!$B$3</f>
        <v/>
      </c>
      <c r="E99">
        <f>extras!$B$6</f>
        <v/>
      </c>
      <c r="F99" s="4">
        <f>(1-H99)*B99+H99*C99</f>
        <v/>
      </c>
      <c r="G99" s="4">
        <f>IF($D$2=0,0,MAX(0,MIN(1,(A99-extras!$E$3*$D$2)/(extras!$E$4*$D$2))))</f>
        <v/>
      </c>
      <c r="H99" s="4">
        <f>$E$2*(G99^2*(3-2*G99))</f>
        <v/>
      </c>
    </row>
    <row r="100" ht="15.75" customHeight="1" s="5">
      <c r="A100" s="4">
        <f>$D$2*(98)/200</f>
        <v/>
      </c>
      <c r="B100" s="4" t="n">
        <v>0.02964511547958182</v>
      </c>
      <c r="C100" s="4" t="n">
        <v>0.01517739200973183</v>
      </c>
      <c r="D100">
        <f>extras!$B$3</f>
        <v/>
      </c>
      <c r="E100">
        <f>extras!$B$6</f>
        <v/>
      </c>
      <c r="F100" s="4">
        <f>(1-H100)*B100+H100*C100</f>
        <v/>
      </c>
      <c r="G100" s="4">
        <f>IF($D$2=0,0,MAX(0,MIN(1,(A100-extras!$E$3*$D$2)/(extras!$E$4*$D$2))))</f>
        <v/>
      </c>
      <c r="H100" s="4">
        <f>$E$2*(G100^2*(3-2*G100))</f>
        <v/>
      </c>
    </row>
    <row r="101" ht="15.75" customHeight="1" s="5">
      <c r="A101" s="4">
        <f>$D$2*(99)/200</f>
        <v/>
      </c>
      <c r="B101" s="4" t="n">
        <v>0.02984748432838424</v>
      </c>
      <c r="C101" s="4" t="n">
        <v>0.01537139218089716</v>
      </c>
      <c r="D101">
        <f>extras!$B$3</f>
        <v/>
      </c>
      <c r="E101">
        <f>extras!$B$6</f>
        <v/>
      </c>
      <c r="F101" s="4">
        <f>(1-H101)*B101+H101*C101</f>
        <v/>
      </c>
      <c r="G101" s="4">
        <f>IF($D$2=0,0,MAX(0,MIN(1,(A101-extras!$E$3*$D$2)/(extras!$E$4*$D$2))))</f>
        <v/>
      </c>
      <c r="H101" s="4">
        <f>$E$2*(G101^2*(3-2*G101))</f>
        <v/>
      </c>
    </row>
    <row r="102" ht="15.75" customHeight="1" s="5">
      <c r="A102" s="4">
        <f>$D$2*(100)/200</f>
        <v/>
      </c>
      <c r="B102" s="4" t="n">
        <v>0.03004784652483439</v>
      </c>
      <c r="C102" s="4" t="n">
        <v>0.01556434671939193</v>
      </c>
      <c r="D102">
        <f>extras!$B$3</f>
        <v/>
      </c>
      <c r="E102">
        <f>extras!$B$6</f>
        <v/>
      </c>
      <c r="F102" s="4">
        <f>(1-H102)*B102+H102*C102</f>
        <v/>
      </c>
      <c r="G102" s="4">
        <f>IF($D$2=0,0,MAX(0,MIN(1,(A102-extras!$E$3*$D$2)/(extras!$E$4*$D$2))))</f>
        <v/>
      </c>
      <c r="H102" s="4">
        <f>$E$2*(G102^2*(3-2*G102))</f>
        <v/>
      </c>
    </row>
    <row r="103" ht="15.75" customHeight="1" s="5">
      <c r="A103" s="4">
        <f>$D$2*(101)/200</f>
        <v/>
      </c>
      <c r="B103" s="4" t="n">
        <v>0.03024620245364495</v>
      </c>
      <c r="C103" s="4" t="n">
        <v>0.01575630597463643</v>
      </c>
      <c r="D103">
        <f>extras!$B$3</f>
        <v/>
      </c>
      <c r="E103">
        <f>extras!$B$6</f>
        <v/>
      </c>
      <c r="F103" s="4">
        <f>(1-H103)*B103+H103*C103</f>
        <v/>
      </c>
      <c r="G103" s="4">
        <f>IF($D$2=0,0,MAX(0,MIN(1,(A103-extras!$E$3*$D$2)/(extras!$E$4*$D$2))))</f>
        <v/>
      </c>
      <c r="H103" s="4">
        <f>$E$2*(G103^2*(3-2*G103))</f>
        <v/>
      </c>
    </row>
    <row r="104" ht="15.75" customHeight="1" s="5">
      <c r="A104" s="4">
        <f>$D$2*(102)/200</f>
        <v/>
      </c>
      <c r="B104" s="4" t="n">
        <v>0.0304425524955807</v>
      </c>
      <c r="C104" s="4" t="n">
        <v>0.01594732601193449</v>
      </c>
      <c r="D104">
        <f>extras!$B$3</f>
        <v/>
      </c>
      <c r="E104">
        <f>extras!$B$6</f>
        <v/>
      </c>
      <c r="F104" s="4">
        <f>(1-H104)*B104+H104*C104</f>
        <v/>
      </c>
      <c r="G104" s="4">
        <f>IF($D$2=0,0,MAX(0,MIN(1,(A104-extras!$E$3*$D$2)/(extras!$E$4*$D$2))))</f>
        <v/>
      </c>
      <c r="H104" s="4">
        <f>$E$2*(G104^2*(3-2*G104))</f>
        <v/>
      </c>
    </row>
    <row r="105" ht="15.75" customHeight="1" s="5">
      <c r="A105" s="4">
        <f>$D$2*(103)/200</f>
        <v/>
      </c>
      <c r="B105" s="4" t="n">
        <v>0.03063689702746064</v>
      </c>
      <c r="C105" s="4" t="n">
        <v>0.01613746835183842</v>
      </c>
      <c r="D105">
        <f>extras!$B$3</f>
        <v/>
      </c>
      <c r="E105">
        <f>extras!$B$6</f>
        <v/>
      </c>
      <c r="F105" s="4">
        <f>(1-H105)*B105+H105*C105</f>
        <v/>
      </c>
      <c r="G105" s="4">
        <f>IF($D$2=0,0,MAX(0,MIN(1,(A105-extras!$E$3*$D$2)/(extras!$E$4*$D$2))))</f>
        <v/>
      </c>
      <c r="H105" s="4">
        <f>$E$2*(G105^2*(3-2*G105))</f>
        <v/>
      </c>
    </row>
    <row r="106" ht="15.75" customHeight="1" s="5">
      <c r="A106" s="4">
        <f>$D$2*(104)/200</f>
        <v/>
      </c>
      <c r="B106" s="4" t="n">
        <v>0.03082923642216207</v>
      </c>
      <c r="C106" s="4" t="n">
        <v>0.0163267996903774</v>
      </c>
      <c r="D106">
        <f>extras!$B$3</f>
        <v/>
      </c>
      <c r="E106">
        <f>extras!$B$6</f>
        <v/>
      </c>
      <c r="F106" s="4">
        <f>(1-H106)*B106+H106*C106</f>
        <v/>
      </c>
      <c r="G106" s="4">
        <f>IF($D$2=0,0,MAX(0,MIN(1,(A106-extras!$E$3*$D$2)/(extras!$E$4*$D$2))))</f>
        <v/>
      </c>
      <c r="H106" s="4">
        <f>$E$2*(G106^2*(3-2*G106))</f>
        <v/>
      </c>
    </row>
    <row r="107" ht="15.75" customHeight="1" s="5">
      <c r="A107" s="4">
        <f>$D$2*(105)/200</f>
        <v/>
      </c>
      <c r="B107" s="4" t="n">
        <v>0.03101957104862496</v>
      </c>
      <c r="C107" s="4" t="n">
        <v>0.01651539160161045</v>
      </c>
      <c r="D107">
        <f>extras!$B$3</f>
        <v/>
      </c>
      <c r="E107">
        <f>extras!$B$6</f>
        <v/>
      </c>
      <c r="F107" s="4">
        <f>(1-H107)*B107+H107*C107</f>
        <v/>
      </c>
      <c r="G107" s="4">
        <f>IF($D$2=0,0,MAX(0,MIN(1,(A107-extras!$E$3*$D$2)/(extras!$E$4*$D$2))))</f>
        <v/>
      </c>
      <c r="H107" s="4">
        <f>$E$2*(G107^2*(3-2*G107))</f>
        <v/>
      </c>
    </row>
    <row r="108" ht="15.75" customHeight="1" s="5">
      <c r="A108" s="4">
        <f>$D$2*(106)/200</f>
        <v/>
      </c>
      <c r="B108" s="4" t="n">
        <v>0.03120790127185291</v>
      </c>
      <c r="C108" s="4" t="n">
        <v>0.0167033202240471</v>
      </c>
      <c r="D108">
        <f>extras!$B$3</f>
        <v/>
      </c>
      <c r="E108">
        <f>extras!$B$6</f>
        <v/>
      </c>
      <c r="F108" s="4">
        <f>(1-H108)*B108+H108*C108</f>
        <v/>
      </c>
      <c r="G108" s="4">
        <f>IF($D$2=0,0,MAX(0,MIN(1,(A108-extras!$E$3*$D$2)/(extras!$E$4*$D$2))))</f>
        <v/>
      </c>
      <c r="H108" s="4">
        <f>$E$2*(G108^2*(3-2*G108))</f>
        <v/>
      </c>
    </row>
    <row r="109" ht="15.75" customHeight="1" s="5">
      <c r="A109" s="4">
        <f>$D$2*(107)/200</f>
        <v/>
      </c>
      <c r="B109" s="4" t="n">
        <v>0.0313942274529202</v>
      </c>
      <c r="C109" s="4" t="n">
        <v>0.01689066593254972</v>
      </c>
      <c r="D109">
        <f>extras!$B$3</f>
        <v/>
      </c>
      <c r="E109">
        <f>extras!$B$6</f>
        <v/>
      </c>
      <c r="F109" s="4">
        <f>(1-H109)*B109+H109*C109</f>
        <v/>
      </c>
      <c r="G109" s="4">
        <f>IF($D$2=0,0,MAX(0,MIN(1,(A109-extras!$E$3*$D$2)/(extras!$E$4*$D$2))))</f>
        <v/>
      </c>
      <c r="H109" s="4">
        <f>$E$2*(G109^2*(3-2*G109))</f>
        <v/>
      </c>
    </row>
    <row r="110" ht="15.75" customHeight="1" s="5">
      <c r="A110" s="4">
        <f>$D$2*(108)/200</f>
        <v/>
      </c>
      <c r="B110" s="4" t="n">
        <v>0.03157854994897313</v>
      </c>
      <c r="C110" s="4" t="n">
        <v>0.01707751299739231</v>
      </c>
      <c r="D110">
        <f>extras!$B$3</f>
        <v/>
      </c>
      <c r="E110">
        <f>extras!$B$6</f>
        <v/>
      </c>
      <c r="F110" s="4">
        <f>(1-H110)*B110+H110*C110</f>
        <v/>
      </c>
      <c r="G110" s="4">
        <f>IF($D$2=0,0,MAX(0,MIN(1,(A110-extras!$E$3*$D$2)/(extras!$E$4*$D$2))))</f>
        <v/>
      </c>
      <c r="H110" s="4">
        <f>$E$2*(G110^2*(3-2*G110))</f>
        <v/>
      </c>
    </row>
    <row r="111" ht="15.75" customHeight="1" s="5">
      <c r="A111" s="4">
        <f>$D$2*(109)/200</f>
        <v/>
      </c>
      <c r="B111" s="4" t="n">
        <v>0.03176086911323228</v>
      </c>
      <c r="C111" s="4" t="n">
        <v>0.01726394923220022</v>
      </c>
      <c r="D111">
        <f>extras!$B$3</f>
        <v/>
      </c>
      <c r="E111">
        <f>extras!$B$6</f>
        <v/>
      </c>
      <c r="F111" s="4">
        <f>(1-H111)*B111+H111*C111</f>
        <v/>
      </c>
      <c r="G111" s="4">
        <f>IF($D$2=0,0,MAX(0,MIN(1,(A111-extras!$E$3*$D$2)/(extras!$E$4*$D$2))))</f>
        <v/>
      </c>
      <c r="H111" s="4">
        <f>$E$2*(G111^2*(3-2*G111))</f>
        <v/>
      </c>
    </row>
    <row r="112" ht="15.75" customHeight="1" s="5">
      <c r="A112" s="4">
        <f>$D$2*(110)/200</f>
        <v/>
      </c>
      <c r="B112" s="4" t="n">
        <v>0.03194118529500001</v>
      </c>
      <c r="C112" s="4" t="n">
        <v>0.01745006563253377</v>
      </c>
      <c r="D112">
        <f>extras!$B$3</f>
        <v/>
      </c>
      <c r="E112">
        <f>extras!$B$6</f>
        <v/>
      </c>
      <c r="F112" s="4">
        <f>(1-H112)*B112+H112*C112</f>
        <v/>
      </c>
      <c r="G112" s="4">
        <f>IF($D$2=0,0,MAX(0,MIN(1,(A112-extras!$E$3*$D$2)/(extras!$E$4*$D$2))))</f>
        <v/>
      </c>
      <c r="H112" s="4">
        <f>$E$2*(G112^2*(3-2*G112))</f>
        <v/>
      </c>
    </row>
    <row r="113" ht="15.75" customHeight="1" s="5">
      <c r="A113" s="4">
        <f>$D$2*(111)/200</f>
        <v/>
      </c>
      <c r="B113" s="4" t="n">
        <v>0.03211949883966003</v>
      </c>
      <c r="C113" s="4" t="n">
        <v>0.01763595600690578</v>
      </c>
      <c r="D113">
        <f>extras!$B$3</f>
        <v/>
      </c>
      <c r="E113">
        <f>extras!$B$6</f>
        <v/>
      </c>
      <c r="F113" s="4">
        <f>(1-H113)*B113+H113*C113</f>
        <v/>
      </c>
      <c r="G113" s="4">
        <f>IF($D$2=0,0,MAX(0,MIN(1,(A113-extras!$E$3*$D$2)/(extras!$E$4*$D$2))))</f>
        <v/>
      </c>
      <c r="H113" s="4">
        <f>$E$2*(G113^2*(3-2*G113))</f>
        <v/>
      </c>
    </row>
    <row r="114" ht="15.75" customHeight="1" s="5">
      <c r="A114" s="4">
        <f>$D$2*(112)/200</f>
        <v/>
      </c>
      <c r="B114" s="4" t="n">
        <v>0.03229581008868232</v>
      </c>
      <c r="C114" s="4" t="n">
        <v>0.01782171660203927</v>
      </c>
      <c r="D114">
        <f>extras!$B$3</f>
        <v/>
      </c>
      <c r="E114">
        <f>extras!$B$6</f>
        <v/>
      </c>
      <c r="F114" s="4">
        <f>(1-H114)*B114+H114*C114</f>
        <v/>
      </c>
      <c r="G114" s="4">
        <f>IF($D$2=0,0,MAX(0,MIN(1,(A114-extras!$E$3*$D$2)/(extras!$E$4*$D$2))))</f>
        <v/>
      </c>
      <c r="H114" s="4">
        <f>$E$2*(G114^2*(3-2*G114))</f>
        <v/>
      </c>
    </row>
    <row r="115" ht="15.75" customHeight="1" s="5">
      <c r="A115" s="4">
        <f>$D$2*(113)/200</f>
        <v/>
      </c>
      <c r="B115" s="4" t="n">
        <v>0.0324701193796253</v>
      </c>
      <c r="C115" s="4" t="n">
        <v>0.01800744572417583</v>
      </c>
      <c r="D115">
        <f>extras!$B$3</f>
        <v/>
      </c>
      <c r="E115">
        <f>extras!$B$6</f>
        <v/>
      </c>
      <c r="F115" s="4">
        <f>(1-H115)*B115+H115*C115</f>
        <v/>
      </c>
      <c r="G115" s="4">
        <f>IF($D$2=0,0,MAX(0,MIN(1,(A115-extras!$E$3*$D$2)/(extras!$E$4*$D$2))))</f>
        <v/>
      </c>
      <c r="H115" s="4">
        <f>$E$2*(G115^2*(3-2*G115))</f>
        <v/>
      </c>
    </row>
    <row r="116" ht="15.75" customHeight="1" s="5">
      <c r="A116" s="4">
        <f>$D$2*(114)/200</f>
        <v/>
      </c>
      <c r="B116" s="4" t="n">
        <v>0.03264242704614162</v>
      </c>
      <c r="C116" s="4" t="n">
        <v>0.01819324335823902</v>
      </c>
      <c r="D116">
        <f>extras!$B$3</f>
        <v/>
      </c>
      <c r="E116">
        <f>extras!$B$6</f>
        <v/>
      </c>
      <c r="F116" s="4">
        <f>(1-H116)*B116+H116*C116</f>
        <v/>
      </c>
      <c r="G116" s="4">
        <f>IF($D$2=0,0,MAX(0,MIN(1,(A116-extras!$E$3*$D$2)/(extras!$E$4*$D$2))))</f>
        <v/>
      </c>
      <c r="H116" s="4">
        <f>$E$2*(G116^2*(3-2*G116))</f>
        <v/>
      </c>
    </row>
    <row r="117" ht="15.75" customHeight="1" s="5">
      <c r="A117" s="4">
        <f>$D$2*(115)/200</f>
        <v/>
      </c>
      <c r="B117" s="4" t="n">
        <v>0.03281273341797775</v>
      </c>
      <c r="C117" s="4" t="n">
        <v>0.01837921078663918</v>
      </c>
      <c r="D117">
        <f>extras!$B$3</f>
        <v/>
      </c>
      <c r="E117">
        <f>extras!$B$6</f>
        <v/>
      </c>
      <c r="F117" s="4">
        <f>(1-H117)*B117+H117*C117</f>
        <v/>
      </c>
      <c r="G117" s="4">
        <f>IF($D$2=0,0,MAX(0,MIN(1,(A117-extras!$E$3*$D$2)/(extras!$E$4*$D$2))))</f>
        <v/>
      </c>
      <c r="H117" s="4">
        <f>$E$2*(G117^2*(3-2*G117))</f>
        <v/>
      </c>
    </row>
    <row r="118" ht="15.75" customHeight="1" s="5">
      <c r="A118" s="4">
        <f>$D$2*(116)/200</f>
        <v/>
      </c>
      <c r="B118" s="4" t="n">
        <v>0.03298103882098058</v>
      </c>
      <c r="C118" s="4" t="n">
        <v>0.01856545020947844</v>
      </c>
      <c r="D118">
        <f>extras!$B$3</f>
        <v/>
      </c>
      <c r="E118">
        <f>extras!$B$6</f>
        <v/>
      </c>
      <c r="F118" s="4">
        <f>(1-H118)*B118+H118*C118</f>
        <v/>
      </c>
      <c r="G118" s="4">
        <f>IF($D$2=0,0,MAX(0,MIN(1,(A118-extras!$E$3*$D$2)/(extras!$E$4*$D$2))))</f>
        <v/>
      </c>
      <c r="H118" s="4">
        <f>$E$2*(G118^2*(3-2*G118))</f>
        <v/>
      </c>
    </row>
    <row r="119" ht="15.75" customHeight="1" s="5">
      <c r="A119" s="4">
        <f>$D$2*(117)/200</f>
        <v/>
      </c>
      <c r="B119" s="4" t="n">
        <v>0.03314734357709881</v>
      </c>
      <c r="C119" s="4" t="n">
        <v>0.01875206436787604</v>
      </c>
      <c r="D119">
        <f>extras!$B$3</f>
        <v/>
      </c>
      <c r="E119">
        <f>extras!$B$6</f>
        <v/>
      </c>
      <c r="F119" s="4">
        <f>(1-H119)*B119+H119*C119</f>
        <v/>
      </c>
      <c r="G119" s="4">
        <f>IF($D$2=0,0,MAX(0,MIN(1,(A119-extras!$E$3*$D$2)/(extras!$E$4*$D$2))))</f>
        <v/>
      </c>
      <c r="H119" s="4">
        <f>$E$2*(G119^2*(3-2*G119))</f>
        <v/>
      </c>
    </row>
    <row r="120" ht="15.75" customHeight="1" s="5">
      <c r="A120" s="4">
        <f>$D$2*(118)/200</f>
        <v/>
      </c>
      <c r="B120" s="4" t="n">
        <v>0.03331164800438513</v>
      </c>
      <c r="C120" s="4" t="n">
        <v>0.01893915617208587</v>
      </c>
      <c r="D120">
        <f>extras!$B$3</f>
        <v/>
      </c>
      <c r="E120">
        <f>extras!$B$6</f>
        <v/>
      </c>
      <c r="F120" s="4">
        <f>(1-H120)*B120+H120*C120</f>
        <v/>
      </c>
      <c r="G120" s="4">
        <f>IF($D$2=0,0,MAX(0,MIN(1,(A120-extras!$E$3*$D$2)/(extras!$E$4*$D$2))))</f>
        <v/>
      </c>
      <c r="H120" s="4">
        <f>$E$2*(G120^2*(3-2*G120))</f>
        <v/>
      </c>
    </row>
    <row r="121" ht="15.75" customHeight="1" s="5">
      <c r="A121" s="4">
        <f>$D$2*(119)/200</f>
        <v/>
      </c>
      <c r="B121" s="4" t="n">
        <v>0.03347395241700246</v>
      </c>
      <c r="C121" s="4" t="n">
        <v>0.0191268283360208</v>
      </c>
      <c r="D121">
        <f>extras!$B$3</f>
        <v/>
      </c>
      <c r="E121">
        <f>extras!$B$6</f>
        <v/>
      </c>
      <c r="F121" s="4">
        <f>(1-H121)*B121+H121*C121</f>
        <v/>
      </c>
      <c r="G121" s="4">
        <f>IF($D$2=0,0,MAX(0,MIN(1,(A121-extras!$E$3*$D$2)/(extras!$E$4*$D$2))))</f>
        <v/>
      </c>
      <c r="H121" s="4">
        <f>$E$2*(G121^2*(3-2*G121))</f>
        <v/>
      </c>
    </row>
    <row r="122" ht="15.75" customHeight="1" s="5">
      <c r="A122" s="4">
        <f>$D$2*(120)/200</f>
        <v/>
      </c>
      <c r="B122" s="4" t="n">
        <v>0.03363425712522305</v>
      </c>
      <c r="C122" s="4" t="n">
        <v>0.01931518301973194</v>
      </c>
      <c r="D122">
        <f>extras!$B$3</f>
        <v/>
      </c>
      <c r="E122">
        <f>extras!$B$6</f>
        <v/>
      </c>
      <c r="F122" s="4">
        <f>(1-H122)*B122+H122*C122</f>
        <v/>
      </c>
      <c r="G122" s="4">
        <f>IF($D$2=0,0,MAX(0,MIN(1,(A122-extras!$E$3*$D$2)/(extras!$E$4*$D$2))))</f>
        <v/>
      </c>
      <c r="H122" s="4">
        <f>$E$2*(G122^2*(3-2*G122))</f>
        <v/>
      </c>
    </row>
    <row r="123" ht="15.75" customHeight="1" s="5">
      <c r="A123" s="4">
        <f>$D$2*(121)/200</f>
        <v/>
      </c>
      <c r="B123" s="4" t="n">
        <v>0.03379256243543471</v>
      </c>
      <c r="C123" s="4" t="n">
        <v>0.01950432148131669</v>
      </c>
      <c r="D123">
        <f>extras!$B$3</f>
        <v/>
      </c>
      <c r="E123">
        <f>extras!$B$6</f>
        <v/>
      </c>
      <c r="F123" s="4">
        <f>(1-H123)*B123+H123*C123</f>
        <v/>
      </c>
      <c r="G123" s="4">
        <f>IF($D$2=0,0,MAX(0,MIN(1,(A123-extras!$E$3*$D$2)/(extras!$E$4*$D$2))))</f>
        <v/>
      </c>
      <c r="H123" s="4">
        <f>$E$2*(G123^2*(3-2*G123))</f>
        <v/>
      </c>
    </row>
    <row r="124" ht="15.75" customHeight="1" s="5">
      <c r="A124" s="4">
        <f>$D$2*(122)/200</f>
        <v/>
      </c>
      <c r="B124" s="4" t="n">
        <v>0.03394886865014124</v>
      </c>
      <c r="C124" s="4" t="n">
        <v>0.01969434373964777</v>
      </c>
      <c r="D124">
        <f>extras!$B$3</f>
        <v/>
      </c>
      <c r="E124">
        <f>extras!$B$6</f>
        <v/>
      </c>
      <c r="F124" s="4">
        <f>(1-H124)*B124+H124*C124</f>
        <v/>
      </c>
      <c r="G124" s="4">
        <f>IF($D$2=0,0,MAX(0,MIN(1,(A124-extras!$E$3*$D$2)/(extras!$E$4*$D$2))))</f>
        <v/>
      </c>
      <c r="H124" s="4">
        <f>$E$2*(G124^2*(3-2*G124))</f>
        <v/>
      </c>
    </row>
    <row r="125" ht="15.75" customHeight="1" s="5">
      <c r="A125" s="4">
        <f>$D$2*(123)/200</f>
        <v/>
      </c>
      <c r="B125" s="4" t="n">
        <v>0.03410317606796776</v>
      </c>
      <c r="C125" s="4" t="n">
        <v>0.01988534824922652</v>
      </c>
      <c r="D125">
        <f>extras!$B$3</f>
        <v/>
      </c>
      <c r="E125">
        <f>extras!$B$6</f>
        <v/>
      </c>
      <c r="F125" s="4">
        <f>(1-H125)*B125+H125*C125</f>
        <v/>
      </c>
      <c r="G125" s="4">
        <f>IF($D$2=0,0,MAX(0,MIN(1,(A125-extras!$E$3*$D$2)/(extras!$E$4*$D$2))))</f>
        <v/>
      </c>
      <c r="H125" s="4">
        <f>$E$2*(G125^2*(3-2*G125))</f>
        <v/>
      </c>
    </row>
    <row r="126" ht="15.75" customHeight="1" s="5">
      <c r="A126" s="4">
        <f>$D$2*(124)/200</f>
        <v/>
      </c>
      <c r="B126" s="4" t="n">
        <v>0.03425548498366116</v>
      </c>
      <c r="C126" s="4" t="n">
        <v>0.02007743158836995</v>
      </c>
      <c r="D126">
        <f>extras!$B$3</f>
        <v/>
      </c>
      <c r="E126">
        <f>extras!$B$6</f>
        <v/>
      </c>
      <c r="F126" s="4">
        <f>(1-H126)*B126+H126*C126</f>
        <v/>
      </c>
      <c r="G126" s="4">
        <f>IF($D$2=0,0,MAX(0,MIN(1,(A126-extras!$E$3*$D$2)/(extras!$E$4*$D$2))))</f>
        <v/>
      </c>
      <c r="H126" s="4">
        <f>$E$2*(G126^2*(3-2*G126))</f>
        <v/>
      </c>
    </row>
    <row r="127" ht="15.75" customHeight="1" s="5">
      <c r="A127" s="4">
        <f>$D$2*(125)/200</f>
        <v/>
      </c>
      <c r="B127" s="4" t="n">
        <v>0.03440579568809499</v>
      </c>
      <c r="C127" s="4" t="n">
        <v>0.02027068816184065</v>
      </c>
      <c r="D127">
        <f>extras!$B$3</f>
        <v/>
      </c>
      <c r="E127">
        <f>extras!$B$6</f>
        <v/>
      </c>
      <c r="F127" s="4">
        <f>(1-H127)*B127+H127*C127</f>
        <v/>
      </c>
      <c r="G127" s="4">
        <f>IF($D$2=0,0,MAX(0,MIN(1,(A127-extras!$E$3*$D$2)/(extras!$E$4*$D$2))))</f>
        <v/>
      </c>
      <c r="H127" s="4">
        <f>$E$2*(G127^2*(3-2*G127))</f>
        <v/>
      </c>
    </row>
    <row r="128" ht="15.75" customHeight="1" s="5">
      <c r="A128" s="4">
        <f>$D$2*(126)/200</f>
        <v/>
      </c>
      <c r="B128" s="4" t="n">
        <v>0.03455410846827123</v>
      </c>
      <c r="C128" s="4" t="n">
        <v>0.02046520991892526</v>
      </c>
      <c r="D128">
        <f>extras!$B$3</f>
        <v/>
      </c>
      <c r="E128">
        <f>extras!$B$6</f>
        <v/>
      </c>
      <c r="F128" s="4">
        <f>(1-H128)*B128+H128*C128</f>
        <v/>
      </c>
      <c r="G128" s="4">
        <f>IF($D$2=0,0,MAX(0,MIN(1,(A128-extras!$E$3*$D$2)/(extras!$E$4*$D$2))))</f>
        <v/>
      </c>
      <c r="H128" s="4">
        <f>$E$2*(G128^2*(3-2*G128))</f>
        <v/>
      </c>
    </row>
    <row r="129" ht="15.75" customHeight="1" s="5">
      <c r="A129" s="4">
        <f>$D$2*(127)/200</f>
        <v/>
      </c>
      <c r="B129" s="4" t="n">
        <v>0.03470042360732251</v>
      </c>
      <c r="C129" s="4" t="n">
        <v>0.02066108608785931</v>
      </c>
      <c r="D129">
        <f>extras!$B$3</f>
        <v/>
      </c>
      <c r="E129">
        <f>extras!$B$6</f>
        <v/>
      </c>
      <c r="F129" s="4">
        <f>(1-H129)*B129+H129*C129</f>
        <v/>
      </c>
      <c r="G129" s="4">
        <f>IF($D$2=0,0,MAX(0,MIN(1,(A129-extras!$E$3*$D$2)/(extras!$E$4*$D$2))))</f>
        <v/>
      </c>
      <c r="H129" s="4">
        <f>$E$2*(G129^2*(3-2*G129))</f>
        <v/>
      </c>
    </row>
    <row r="130" ht="15.75" customHeight="1" s="5">
      <c r="A130" s="4">
        <f>$D$2*(128)/200</f>
        <v/>
      </c>
      <c r="B130" s="4" t="n">
        <v>0.0348447413845161</v>
      </c>
      <c r="C130" s="4" t="n">
        <v>0.02085840292738611</v>
      </c>
      <c r="D130">
        <f>extras!$B$3</f>
        <v/>
      </c>
      <c r="E130">
        <f>extras!$B$6</f>
        <v/>
      </c>
      <c r="F130" s="4">
        <f>(1-H130)*B130+H130*C130</f>
        <v/>
      </c>
      <c r="G130" s="4">
        <f>IF($D$2=0,0,MAX(0,MIN(1,(A130-extras!$E$3*$D$2)/(extras!$E$4*$D$2))))</f>
        <v/>
      </c>
      <c r="H130" s="4">
        <f>$E$2*(G130^2*(3-2*G130))</f>
        <v/>
      </c>
    </row>
    <row r="131" ht="15.75" customHeight="1" s="5">
      <c r="A131" s="4">
        <f>$D$2*(129)/200</f>
        <v/>
      </c>
      <c r="B131" s="4" t="n">
        <v>0.03498706207525659</v>
      </c>
      <c r="C131" s="4" t="n">
        <v>0.02105724349612521</v>
      </c>
      <c r="D131">
        <f>extras!$B$3</f>
        <v/>
      </c>
      <c r="E131">
        <f>extras!$B$6</f>
        <v/>
      </c>
      <c r="F131" s="4">
        <f>(1-H131)*B131+H131*C131</f>
        <v/>
      </c>
      <c r="G131" s="4">
        <f>IF($D$2=0,0,MAX(0,MIN(1,(A131-extras!$E$3*$D$2)/(extras!$E$4*$D$2))))</f>
        <v/>
      </c>
      <c r="H131" s="4">
        <f>$E$2*(G131^2*(3-2*G131))</f>
        <v/>
      </c>
    </row>
    <row r="132" ht="15.75" customHeight="1" s="5">
      <c r="A132" s="4">
        <f>$D$2*(130)/200</f>
        <v/>
      </c>
      <c r="B132" s="4" t="n">
        <v>0.03512738595108589</v>
      </c>
      <c r="C132" s="4" t="n">
        <v>0.02125768744031255</v>
      </c>
      <c r="D132">
        <f>extras!$B$3</f>
        <v/>
      </c>
      <c r="E132">
        <f>extras!$B$6</f>
        <v/>
      </c>
      <c r="F132" s="4">
        <f>(1-H132)*B132+H132*C132</f>
        <v/>
      </c>
      <c r="G132" s="4">
        <f>IF($D$2=0,0,MAX(0,MIN(1,(A132-extras!$E$3*$D$2)/(extras!$E$4*$D$2))))</f>
        <v/>
      </c>
      <c r="H132" s="4">
        <f>$E$2*(G132^2*(3-2*G132))</f>
        <v/>
      </c>
    </row>
    <row r="133" ht="15.75" customHeight="1" s="5">
      <c r="A133" s="4">
        <f>$D$2*(131)/200</f>
        <v/>
      </c>
      <c r="B133" s="4" t="n">
        <v>0.0352657132796903</v>
      </c>
      <c r="C133" s="4" t="n">
        <v>0.02145981080036109</v>
      </c>
      <c r="D133">
        <f>extras!$B$3</f>
        <v/>
      </c>
      <c r="E133">
        <f>extras!$B$6</f>
        <v/>
      </c>
      <c r="F133" s="4">
        <f>(1-H133)*B133+H133*C133</f>
        <v/>
      </c>
      <c r="G133" s="4">
        <f>IF($D$2=0,0,MAX(0,MIN(1,(A133-extras!$E$3*$D$2)/(extras!$E$4*$D$2))))</f>
        <v/>
      </c>
      <c r="H133" s="4">
        <f>$E$2*(G133^2*(3-2*G133))</f>
        <v/>
      </c>
    </row>
    <row r="134" ht="15.75" customHeight="1" s="5">
      <c r="A134" s="4">
        <f>$D$2*(132)/200</f>
        <v/>
      </c>
      <c r="B134" s="4" t="n">
        <v>0.03540204432489835</v>
      </c>
      <c r="C134" s="4" t="n">
        <v>0.02166368583657756</v>
      </c>
      <c r="D134">
        <f>extras!$B$3</f>
        <v/>
      </c>
      <c r="E134">
        <f>extras!$B$6</f>
        <v/>
      </c>
      <c r="F134" s="4">
        <f>(1-H134)*B134+H134*C134</f>
        <v/>
      </c>
      <c r="G134" s="4">
        <f>IF($D$2=0,0,MAX(0,MIN(1,(A134-extras!$E$3*$D$2)/(extras!$E$4*$D$2))))</f>
        <v/>
      </c>
      <c r="H134" s="4">
        <f>$E$2*(G134^2*(3-2*G134))</f>
        <v/>
      </c>
    </row>
    <row r="135" ht="15.75" customHeight="1" s="5">
      <c r="A135" s="4">
        <f>$D$2*(133)/200</f>
        <v/>
      </c>
      <c r="B135" s="4" t="n">
        <v>0.03553637934668741</v>
      </c>
      <c r="C135" s="4" t="n">
        <v>0.02186938087425925</v>
      </c>
      <c r="D135">
        <f>extras!$B$3</f>
        <v/>
      </c>
      <c r="E135">
        <f>extras!$B$6</f>
        <v/>
      </c>
      <c r="F135" s="4">
        <f>(1-H135)*B135+H135*C135</f>
        <v/>
      </c>
      <c r="G135" s="4">
        <f>IF($D$2=0,0,MAX(0,MIN(1,(A135-extras!$E$3*$D$2)/(extras!$E$4*$D$2))))</f>
        <v/>
      </c>
      <c r="H135" s="4">
        <f>$E$2*(G135^2*(3-2*G135))</f>
        <v/>
      </c>
    </row>
    <row r="136" ht="15.75" customHeight="1" s="5">
      <c r="A136" s="4">
        <f>$D$2*(134)/200</f>
        <v/>
      </c>
      <c r="B136" s="4" t="n">
        <v>0.0356687186011837</v>
      </c>
      <c r="C136" s="4" t="n">
        <v>0.02207696016828515</v>
      </c>
      <c r="D136">
        <f>extras!$B$3</f>
        <v/>
      </c>
      <c r="E136">
        <f>extras!$B$6</f>
        <v/>
      </c>
      <c r="F136" s="4">
        <f>(1-H136)*B136+H136*C136</f>
        <v/>
      </c>
      <c r="G136" s="4">
        <f>IF($D$2=0,0,MAX(0,MIN(1,(A136-extras!$E$3*$D$2)/(extras!$E$4*$D$2))))</f>
        <v/>
      </c>
      <c r="H136" s="4">
        <f>$E$2*(G136^2*(3-2*G136))</f>
        <v/>
      </c>
    </row>
    <row r="137" ht="15.75" customHeight="1" s="5">
      <c r="A137" s="4">
        <f>$D$2*(135)/200</f>
        <v/>
      </c>
      <c r="B137" s="4" t="n">
        <v>0.03579906234066499</v>
      </c>
      <c r="C137" s="4" t="n">
        <v>0.02228648378720826</v>
      </c>
      <c r="D137">
        <f>extras!$B$3</f>
        <v/>
      </c>
      <c r="E137">
        <f>extras!$B$6</f>
        <v/>
      </c>
      <c r="F137" s="4">
        <f>(1-H137)*B137+H137*C137</f>
        <v/>
      </c>
      <c r="G137" s="4">
        <f>IF($D$2=0,0,MAX(0,MIN(1,(A137-extras!$E$3*$D$2)/(extras!$E$4*$D$2))))</f>
        <v/>
      </c>
      <c r="H137" s="4">
        <f>$E$2*(G137^2*(3-2*G137))</f>
        <v/>
      </c>
    </row>
    <row r="138" ht="15.75" customHeight="1" s="5">
      <c r="A138" s="4">
        <f>$D$2*(136)/200</f>
        <v/>
      </c>
      <c r="B138" s="4" t="n">
        <v>0.0359274108135641</v>
      </c>
      <c r="C138" s="4" t="n">
        <v>0.02249800751675269</v>
      </c>
      <c r="D138">
        <f>extras!$B$3</f>
        <v/>
      </c>
      <c r="E138">
        <f>extras!$B$6</f>
        <v/>
      </c>
      <c r="F138" s="4">
        <f>(1-H138)*B138+H138*C138</f>
        <v/>
      </c>
      <c r="G138" s="4">
        <f>IF($D$2=0,0,MAX(0,MIN(1,(A138-extras!$E$3*$D$2)/(extras!$E$4*$D$2))))</f>
        <v/>
      </c>
      <c r="H138" s="4">
        <f>$E$2*(G138^2*(3-2*G138))</f>
        <v/>
      </c>
    </row>
    <row r="139" ht="15.75" customHeight="1" s="5">
      <c r="A139" s="4">
        <f>$D$2*(137)/200</f>
        <v/>
      </c>
      <c r="B139" s="4" t="n">
        <v>0.03605376426447071</v>
      </c>
      <c r="C139" s="4" t="n">
        <v>0.02271158278251897</v>
      </c>
      <c r="D139">
        <f>extras!$B$3</f>
        <v/>
      </c>
      <c r="E139">
        <f>extras!$B$6</f>
        <v/>
      </c>
      <c r="F139" s="4">
        <f>(1-H139)*B139+H139*C139</f>
        <v/>
      </c>
      <c r="G139" s="4">
        <f>IF($D$2=0,0,MAX(0,MIN(1,(A139-extras!$E$3*$D$2)/(extras!$E$4*$D$2))))</f>
        <v/>
      </c>
      <c r="H139" s="4">
        <f>$E$2*(G139^2*(3-2*G139))</f>
        <v/>
      </c>
    </row>
    <row r="140" ht="15.75" customHeight="1" s="5">
      <c r="A140" s="4">
        <f>$D$2*(138)/200</f>
        <v/>
      </c>
      <c r="B140" s="4" t="n">
        <v>0.03617812293413269</v>
      </c>
      <c r="C140" s="4" t="n">
        <v>0.02292725659160581</v>
      </c>
      <c r="D140">
        <f>extras!$B$3</f>
        <v/>
      </c>
      <c r="E140">
        <f>extras!$B$6</f>
        <v/>
      </c>
      <c r="F140" s="4">
        <f>(1-H140)*B140+H140*C140</f>
        <v/>
      </c>
      <c r="G140" s="4">
        <f>IF($D$2=0,0,MAX(0,MIN(1,(A140-extras!$E$3*$D$2)/(extras!$E$4*$D$2))))</f>
        <v/>
      </c>
      <c r="H140" s="4">
        <f>$E$2*(G140^2*(3-2*G140))</f>
        <v/>
      </c>
    </row>
    <row r="141" ht="15.75" customHeight="1" s="5">
      <c r="A141" s="4">
        <f>$D$2*(139)/200</f>
        <v/>
      </c>
      <c r="B141" s="4" t="n">
        <v>0.0363004870594601</v>
      </c>
      <c r="C141" s="4" t="n">
        <v>0.02314507149276609</v>
      </c>
      <c r="D141">
        <f>extras!$B$3</f>
        <v/>
      </c>
      <c r="E141">
        <f>extras!$B$6</f>
        <v/>
      </c>
      <c r="F141" s="4">
        <f>(1-H141)*B141+H141*C141</f>
        <v/>
      </c>
      <c r="G141" s="4">
        <f>IF($D$2=0,0,MAX(0,MIN(1,(A141-extras!$E$3*$D$2)/(extras!$E$4*$D$2))))</f>
        <v/>
      </c>
      <c r="H141" s="4">
        <f>$E$2*(G141^2*(3-2*G141))</f>
        <v/>
      </c>
    </row>
    <row r="142" ht="15.75" customHeight="1" s="5">
      <c r="A142" s="4">
        <f>$D$2*(140)/200</f>
        <v/>
      </c>
      <c r="B142" s="4" t="n">
        <v>0.03642085687352647</v>
      </c>
      <c r="C142" s="4" t="n">
        <v>0.0233650655546301</v>
      </c>
      <c r="D142">
        <f>extras!$B$3</f>
        <v/>
      </c>
      <c r="E142">
        <f>extras!$B$6</f>
        <v/>
      </c>
      <c r="F142" s="4">
        <f>(1-H142)*B142+H142*C142</f>
        <v/>
      </c>
      <c r="G142" s="4">
        <f>IF($D$2=0,0,MAX(0,MIN(1,(A142-extras!$E$3*$D$2)/(extras!$E$4*$D$2))))</f>
        <v/>
      </c>
      <c r="H142" s="4">
        <f>$E$2*(G142^2*(3-2*G142))</f>
        <v/>
      </c>
    </row>
    <row r="143" ht="15.75" customHeight="1" s="5">
      <c r="A143" s="4">
        <f>$D$2*(141)/200</f>
        <v/>
      </c>
      <c r="B143" s="4" t="n">
        <v>0.03653923260557113</v>
      </c>
      <c r="C143" s="4" t="n">
        <v>0.02358727236144985</v>
      </c>
      <c r="D143">
        <f>extras!$B$3</f>
        <v/>
      </c>
      <c r="E143">
        <f>extras!$B$6</f>
        <v/>
      </c>
      <c r="F143" s="4">
        <f>(1-H143)*B143+H143*C143</f>
        <v/>
      </c>
      <c r="G143" s="4">
        <f>IF($D$2=0,0,MAX(0,MIN(1,(A143-extras!$E$3*$D$2)/(extras!$E$4*$D$2))))</f>
        <v/>
      </c>
      <c r="H143" s="4">
        <f>$E$2*(G143^2*(3-2*G143))</f>
        <v/>
      </c>
    </row>
    <row r="144" ht="15.75" customHeight="1" s="5">
      <c r="A144" s="4">
        <f>$D$2*(142)/200</f>
        <v/>
      </c>
      <c r="B144" s="4" t="n">
        <v>0.03665561448100174</v>
      </c>
      <c r="C144" s="4" t="n">
        <v>0.02381172102574538</v>
      </c>
      <c r="D144">
        <f>extras!$B$3</f>
        <v/>
      </c>
      <c r="E144">
        <f>extras!$B$6</f>
        <v/>
      </c>
      <c r="F144" s="4">
        <f>(1-H144)*B144+H144*C144</f>
        <v/>
      </c>
      <c r="G144" s="4">
        <f>IF($D$2=0,0,MAX(0,MIN(1,(A144-extras!$E$3*$D$2)/(extras!$E$4*$D$2))))</f>
        <v/>
      </c>
      <c r="H144" s="4">
        <f>$E$2*(G144^2*(3-2*G144))</f>
        <v/>
      </c>
    </row>
    <row r="145" ht="15.75" customHeight="1" s="5">
      <c r="A145" s="4">
        <f>$D$2*(143)/200</f>
        <v/>
      </c>
      <c r="B145" s="4" t="n">
        <v>0.03677000272139574</v>
      </c>
      <c r="C145" s="4" t="n">
        <v>0.02403843621716735</v>
      </c>
      <c r="D145">
        <f>extras!$B$3</f>
        <v/>
      </c>
      <c r="E145">
        <f>extras!$B$6</f>
        <v/>
      </c>
      <c r="F145" s="4">
        <f>(1-H145)*B145+H145*C145</f>
        <v/>
      </c>
      <c r="G145" s="4">
        <f>IF($D$2=0,0,MAX(0,MIN(1,(A145-extras!$E$3*$D$2)/(extras!$E$4*$D$2))))</f>
        <v/>
      </c>
      <c r="H145" s="4">
        <f>$E$2*(G145^2*(3-2*G145))</f>
        <v/>
      </c>
    </row>
    <row r="146" ht="15.75" customHeight="1" s="5">
      <c r="A146" s="4">
        <f>$D$2*(144)/200</f>
        <v/>
      </c>
      <c r="B146" s="4" t="n">
        <v>0.03688239754450384</v>
      </c>
      <c r="C146" s="4" t="n">
        <v>0.02426743820683049</v>
      </c>
      <c r="D146">
        <f>extras!$B$3</f>
        <v/>
      </c>
      <c r="E146">
        <f>extras!$B$6</f>
        <v/>
      </c>
      <c r="F146" s="4">
        <f>(1-H146)*B146+H146*C146</f>
        <v/>
      </c>
      <c r="G146" s="4">
        <f>IF($D$2=0,0,MAX(0,MIN(1,(A146-extras!$E$3*$D$2)/(extras!$E$4*$D$2))))</f>
        <v/>
      </c>
      <c r="H146" s="4">
        <f>$E$2*(G146^2*(3-2*G146))</f>
        <v/>
      </c>
    </row>
    <row r="147" ht="15.75" customHeight="1" s="5">
      <c r="A147" s="4">
        <f>$D$2*(145)/200</f>
        <v/>
      </c>
      <c r="B147" s="4" t="n">
        <v>0.03699279916425002</v>
      </c>
      <c r="C147" s="4" t="n">
        <v>0.02449874292631933</v>
      </c>
      <c r="D147">
        <f>extras!$B$3</f>
        <v/>
      </c>
      <c r="E147">
        <f>extras!$B$6</f>
        <v/>
      </c>
      <c r="F147" s="4">
        <f>(1-H147)*B147+H147*C147</f>
        <v/>
      </c>
      <c r="G147" s="4">
        <f>IF($D$2=0,0,MAX(0,MIN(1,(A147-extras!$E$3*$D$2)/(extras!$E$4*$D$2))))</f>
        <v/>
      </c>
      <c r="H147" s="4">
        <f>$E$2*(G147^2*(3-2*G147))</f>
        <v/>
      </c>
    </row>
    <row r="148" ht="15.75" customHeight="1" s="5">
      <c r="A148" s="4">
        <f>$D$2*(146)/200</f>
        <v/>
      </c>
      <c r="B148" s="4" t="n">
        <v>0.037101207790736</v>
      </c>
      <c r="C148" s="4" t="n">
        <v>0.02473236204052133</v>
      </c>
      <c r="D148">
        <f>extras!$B$3</f>
        <v/>
      </c>
      <c r="E148">
        <f>extras!$B$6</f>
        <v/>
      </c>
      <c r="F148" s="4">
        <f>(1-H148)*B148+H148*C148</f>
        <v/>
      </c>
      <c r="G148" s="4">
        <f>IF($D$2=0,0,MAX(0,MIN(1,(A148-extras!$E$3*$D$2)/(extras!$E$4*$D$2))))</f>
        <v/>
      </c>
      <c r="H148" s="4">
        <f>$E$2*(G148^2*(3-2*G148))</f>
        <v/>
      </c>
    </row>
    <row r="149" ht="15.75" customHeight="1" s="5">
      <c r="A149" s="4">
        <f>$D$2*(147)/200</f>
        <v/>
      </c>
      <c r="B149" s="4" t="n">
        <v>0.03720762363024033</v>
      </c>
      <c r="C149" s="4" t="n">
        <v>0.02496830303340347</v>
      </c>
      <c r="D149">
        <f>extras!$B$3</f>
        <v/>
      </c>
      <c r="E149">
        <f>extras!$B$6</f>
        <v/>
      </c>
      <c r="F149" s="4">
        <f>(1-H149)*B149+H149*C149</f>
        <v/>
      </c>
      <c r="G149" s="4">
        <f>IF($D$2=0,0,MAX(0,MIN(1,(A149-extras!$E$3*$D$2)/(extras!$E$4*$D$2))))</f>
        <v/>
      </c>
      <c r="H149" s="4">
        <f>$E$2*(G149^2*(3-2*G149))</f>
        <v/>
      </c>
    </row>
    <row r="150" ht="15.75" customHeight="1" s="5">
      <c r="A150" s="4">
        <f>$D$2*(148)/200</f>
        <v/>
      </c>
      <c r="B150" s="4" t="n">
        <v>0.03731204688522327</v>
      </c>
      <c r="C150" s="4" t="n">
        <v>0.02520656930581589</v>
      </c>
      <c r="D150">
        <f>extras!$B$3</f>
        <v/>
      </c>
      <c r="E150">
        <f>extras!$B$6</f>
        <v/>
      </c>
      <c r="F150" s="4">
        <f>(1-H150)*B150+H150*C150</f>
        <v/>
      </c>
      <c r="G150" s="4">
        <f>IF($D$2=0,0,MAX(0,MIN(1,(A150-extras!$E$3*$D$2)/(extras!$E$4*$D$2))))</f>
        <v/>
      </c>
      <c r="H150" s="4">
        <f>$E$2*(G150^2*(3-2*G150))</f>
        <v/>
      </c>
    </row>
    <row r="151" ht="15.75" customHeight="1" s="5">
      <c r="A151" s="4">
        <f>$D$2*(149)/200</f>
        <v/>
      </c>
      <c r="B151" s="4" t="n">
        <v>0.03741447775432727</v>
      </c>
      <c r="C151" s="4" t="n">
        <v>0.02544716028438071</v>
      </c>
      <c r="D151">
        <f>extras!$B$3</f>
        <v/>
      </c>
      <c r="E151">
        <f>extras!$B$6</f>
        <v/>
      </c>
      <c r="F151" s="4">
        <f>(1-H151)*B151+H151*C151</f>
        <v/>
      </c>
      <c r="G151" s="4">
        <f>IF($D$2=0,0,MAX(0,MIN(1,(A151-extras!$E$3*$D$2)/(extras!$E$4*$D$2))))</f>
        <v/>
      </c>
      <c r="H151" s="4">
        <f>$E$2*(G151^2*(3-2*G151))</f>
        <v/>
      </c>
    </row>
    <row r="152" ht="15.75" customHeight="1" s="5">
      <c r="A152" s="4">
        <f>$D$2*(150)/200</f>
        <v/>
      </c>
      <c r="B152" s="4" t="n">
        <v>0.0375149164323787</v>
      </c>
      <c r="C152" s="4" t="n">
        <v>0.02569007154050559</v>
      </c>
      <c r="D152">
        <f>extras!$B$3</f>
        <v/>
      </c>
      <c r="E152">
        <f>extras!$B$6</f>
        <v/>
      </c>
      <c r="F152" s="4">
        <f>(1-H152)*B152+H152*C152</f>
        <v/>
      </c>
      <c r="G152" s="4">
        <f>IF($D$2=0,0,MAX(0,MIN(1,(A152-extras!$E$3*$D$2)/(extras!$E$4*$D$2))))</f>
        <v/>
      </c>
      <c r="H152" s="4">
        <f>$E$2*(G152^2*(3-2*G152))</f>
        <v/>
      </c>
    </row>
    <row r="153" ht="15.75" customHeight="1" s="5">
      <c r="A153" s="4">
        <f>$D$2*(151)/200</f>
        <v/>
      </c>
      <c r="B153" s="4" t="n">
        <v>0.03761336311039054</v>
      </c>
      <c r="C153" s="4" t="n">
        <v>0.02593529491854928</v>
      </c>
      <c r="D153">
        <f>extras!$B$3</f>
        <v/>
      </c>
      <c r="E153">
        <f>extras!$B$6</f>
        <v/>
      </c>
      <c r="F153" s="4">
        <f>(1-H153)*B153+H153*C153</f>
        <v/>
      </c>
      <c r="G153" s="4">
        <f>IF($D$2=0,0,MAX(0,MIN(1,(A153-extras!$E$3*$D$2)/(extras!$E$4*$D$2))))</f>
        <v/>
      </c>
      <c r="H153" s="4">
        <f>$E$2*(G153^2*(3-2*G153))</f>
        <v/>
      </c>
    </row>
    <row r="154" ht="15.75" customHeight="1" s="5">
      <c r="A154" s="4">
        <f>$D$2*(152)/200</f>
        <v/>
      </c>
      <c r="B154" s="4" t="n">
        <v>0.03770981797556372</v>
      </c>
      <c r="C154" s="4" t="n">
        <v>0.02618281867216071</v>
      </c>
      <c r="D154">
        <f>extras!$B$3</f>
        <v/>
      </c>
      <c r="E154">
        <f>extras!$B$6</f>
        <v/>
      </c>
      <c r="F154" s="4">
        <f>(1-H154)*B154+H154*C154</f>
        <v/>
      </c>
      <c r="G154" s="4">
        <f>IF($D$2=0,0,MAX(0,MIN(1,(A154-extras!$E$3*$D$2)/(extras!$E$4*$D$2))))</f>
        <v/>
      </c>
      <c r="H154" s="4">
        <f>$E$2*(G154^2*(3-2*G154))</f>
        <v/>
      </c>
    </row>
    <row r="155" ht="15.75" customHeight="1" s="5">
      <c r="A155" s="4">
        <f>$D$2*(153)/200</f>
        <v/>
      </c>
      <c r="B155" s="4" t="n">
        <v>0.03780428121128798</v>
      </c>
      <c r="C155" s="4" t="n">
        <v>0.02643262760781388</v>
      </c>
      <c r="D155">
        <f>extras!$B$3</f>
        <v/>
      </c>
      <c r="E155">
        <f>extras!$B$6</f>
        <v/>
      </c>
      <c r="F155" s="4">
        <f>(1-H155)*B155+H155*C155</f>
        <v/>
      </c>
      <c r="G155" s="4">
        <f>IF($D$2=0,0,MAX(0,MIN(1,(A155-extras!$E$3*$D$2)/(extras!$E$4*$D$2))))</f>
        <v/>
      </c>
      <c r="H155" s="4">
        <f>$E$2*(G155^2*(3-2*G155))</f>
        <v/>
      </c>
    </row>
    <row r="156" ht="15.75" customHeight="1" s="5">
      <c r="A156" s="4">
        <f>$D$2*(154)/200</f>
        <v/>
      </c>
      <c r="B156" s="4" t="n">
        <v>0.03789675299714546</v>
      </c>
      <c r="C156" s="4" t="n">
        <v>0.02668470323456651</v>
      </c>
      <c r="D156">
        <f>extras!$B$3</f>
        <v/>
      </c>
      <c r="E156">
        <f>extras!$B$6</f>
        <v/>
      </c>
      <c r="F156" s="4">
        <f>(1-H156)*B156+H156*C156</f>
        <v/>
      </c>
      <c r="G156" s="4">
        <f>IF($D$2=0,0,MAX(0,MIN(1,(A156-extras!$E$3*$D$2)/(extras!$E$4*$D$2))))</f>
        <v/>
      </c>
      <c r="H156" s="4">
        <f>$E$2*(G156^2*(3-2*G156))</f>
        <v/>
      </c>
    </row>
    <row r="157" ht="15.75" customHeight="1" s="5">
      <c r="A157" s="4">
        <f>$D$2*(155)/200</f>
        <v/>
      </c>
      <c r="B157" s="4" t="n">
        <v>0.03798723350891153</v>
      </c>
      <c r="C157" s="4" t="n">
        <v>0.02693902391908309</v>
      </c>
      <c r="D157">
        <f>extras!$B$3</f>
        <v/>
      </c>
      <c r="E157">
        <f>extras!$B$6</f>
        <v/>
      </c>
      <c r="F157" s="4">
        <f>(1-H157)*B157+H157*C157</f>
        <v/>
      </c>
      <c r="G157" s="4">
        <f>IF($D$2=0,0,MAX(0,MIN(1,(A157-extras!$E$3*$D$2)/(extras!$E$4*$D$2))))</f>
        <v/>
      </c>
      <c r="H157" s="4">
        <f>$E$2*(G157^2*(3-2*G157))</f>
        <v/>
      </c>
    </row>
    <row r="158" ht="15.75" customHeight="1" s="5">
      <c r="A158" s="4">
        <f>$D$2*(156)/200</f>
        <v/>
      </c>
      <c r="B158" s="4" t="n">
        <v>0.03807572291855577</v>
      </c>
      <c r="C158" s="4" t="n">
        <v>0.02719556504497914</v>
      </c>
      <c r="D158">
        <f>extras!$B$3</f>
        <v/>
      </c>
      <c r="E158">
        <f>extras!$B$6</f>
        <v/>
      </c>
      <c r="F158" s="4">
        <f>(1-H158)*B158+H158*C158</f>
        <v/>
      </c>
      <c r="G158" s="4">
        <f>IF($D$2=0,0,MAX(0,MIN(1,(A158-extras!$E$3*$D$2)/(extras!$E$4*$D$2))))</f>
        <v/>
      </c>
      <c r="H158" s="4">
        <f>$E$2*(G158^2*(3-2*G158))</f>
        <v/>
      </c>
    </row>
    <row r="159" ht="15.75" customHeight="1" s="5">
      <c r="A159" s="4">
        <f>$D$2*(157)/200</f>
        <v/>
      </c>
      <c r="B159" s="4" t="n">
        <v>0.03816222139424452</v>
      </c>
      <c r="C159" s="4" t="n">
        <v>0.02745429917556641</v>
      </c>
      <c r="D159">
        <f>extras!$B$3</f>
        <v/>
      </c>
      <c r="E159">
        <f>extras!$B$6</f>
        <v/>
      </c>
      <c r="F159" s="4">
        <f>(1-H159)*B159+H159*C159</f>
        <v/>
      </c>
      <c r="G159" s="4">
        <f>IF($D$2=0,0,MAX(0,MIN(1,(A159-extras!$E$3*$D$2)/(extras!$E$4*$D$2))))</f>
        <v/>
      </c>
      <c r="H159" s="4">
        <f>$E$2*(G159^2*(3-2*G159))</f>
        <v/>
      </c>
    </row>
    <row r="160" ht="15.75" customHeight="1" s="5">
      <c r="A160" s="4">
        <f>$D$2*(158)/200</f>
        <v/>
      </c>
      <c r="B160" s="4" t="n">
        <v>0.03824672910034232</v>
      </c>
      <c r="C160" s="4" t="n">
        <v>0.02771519621910416</v>
      </c>
      <c r="D160">
        <f>extras!$B$3</f>
        <v/>
      </c>
      <c r="E160">
        <f>extras!$B$6</f>
        <v/>
      </c>
      <c r="F160" s="4">
        <f>(1-H160)*B160+H160*C160</f>
        <v/>
      </c>
      <c r="G160" s="4">
        <f>IF($D$2=0,0,MAX(0,MIN(1,(A160-extras!$E$3*$D$2)/(extras!$E$4*$D$2))))</f>
        <v/>
      </c>
      <c r="H160" s="4">
        <f>$E$2*(G160^2*(3-2*G160))</f>
        <v/>
      </c>
    </row>
    <row r="161" ht="15.75" customHeight="1" s="5">
      <c r="A161" s="4">
        <f>$D$2*(159)/200</f>
        <v/>
      </c>
      <c r="B161" s="4" t="n">
        <v>0.03832924619741362</v>
      </c>
      <c r="C161" s="4" t="n">
        <v>0.02797822359569342</v>
      </c>
      <c r="D161">
        <f>extras!$B$3</f>
        <v/>
      </c>
      <c r="E161">
        <f>extras!$B$6</f>
        <v/>
      </c>
      <c r="F161" s="4">
        <f>(1-H161)*B161+H161*C161</f>
        <v/>
      </c>
      <c r="G161" s="4">
        <f>IF($D$2=0,0,MAX(0,MIN(1,(A161-extras!$E$3*$D$2)/(extras!$E$4*$D$2))))</f>
        <v/>
      </c>
      <c r="H161" s="4">
        <f>$E$2*(G161^2*(3-2*G161))</f>
        <v/>
      </c>
    </row>
    <row r="162" ht="15.75" customHeight="1" s="5">
      <c r="A162" s="4">
        <f>$D$2*(160)/200</f>
        <v/>
      </c>
      <c r="B162" s="4" t="n">
        <v>0.03840977284222369</v>
      </c>
      <c r="C162" s="4" t="n">
        <v>0.02824334640498414</v>
      </c>
      <c r="D162">
        <f>extras!$B$3</f>
        <v/>
      </c>
      <c r="E162">
        <f>extras!$B$6</f>
        <v/>
      </c>
      <c r="F162" s="4">
        <f>(1-H162)*B162+H162*C162</f>
        <v/>
      </c>
      <c r="G162" s="4">
        <f>IF($D$2=0,0,MAX(0,MIN(1,(A162-extras!$E$3*$D$2)/(extras!$E$4*$D$2))))</f>
        <v/>
      </c>
      <c r="H162" s="4">
        <f>$E$2*(G162^2*(3-2*G162))</f>
        <v/>
      </c>
    </row>
    <row r="163" ht="15.75" customHeight="1" s="5">
      <c r="A163" s="4">
        <f>$D$2*(161)/200</f>
        <v/>
      </c>
      <c r="B163" s="4" t="n">
        <v>0.03848830918774082</v>
      </c>
      <c r="C163" s="4" t="n">
        <v>0.02851052759390361</v>
      </c>
      <c r="D163">
        <f>extras!$B$3</f>
        <v/>
      </c>
      <c r="E163">
        <f>extras!$B$6</f>
        <v/>
      </c>
      <c r="F163" s="4">
        <f>(1-H163)*B163+H163*C163</f>
        <v/>
      </c>
      <c r="G163" s="4">
        <f>IF($D$2=0,0,MAX(0,MIN(1,(A163-extras!$E$3*$D$2)/(extras!$E$4*$D$2))))</f>
        <v/>
      </c>
      <c r="H163" s="4">
        <f>$E$2*(G163^2*(3-2*G163))</f>
        <v/>
      </c>
    </row>
    <row r="164" ht="15.75" customHeight="1" s="5">
      <c r="A164" s="4">
        <f>$D$2*(162)/200</f>
        <v/>
      </c>
      <c r="B164" s="4" t="n">
        <v>0.03856485538313681</v>
      </c>
      <c r="C164" s="4" t="n">
        <v>0.0287797281236543</v>
      </c>
      <c r="D164">
        <f>extras!$B$3</f>
        <v/>
      </c>
      <c r="E164">
        <f>extras!$B$6</f>
        <v/>
      </c>
      <c r="F164" s="4">
        <f>(1-H164)*B164+H164*C164</f>
        <v/>
      </c>
      <c r="G164" s="4">
        <f>IF($D$2=0,0,MAX(0,MIN(1,(A164-extras!$E$3*$D$2)/(extras!$E$4*$D$2))))</f>
        <v/>
      </c>
      <c r="H164" s="4">
        <f>$E$2*(G164^2*(3-2*G164))</f>
        <v/>
      </c>
    </row>
    <row r="165" ht="15.75" customHeight="1" s="5">
      <c r="A165" s="4">
        <f>$D$2*(163)/200</f>
        <v/>
      </c>
      <c r="B165" s="4" t="n">
        <v>0.03863941157378958</v>
      </c>
      <c r="C165" s="4" t="n">
        <v>0.02905090713527246</v>
      </c>
      <c r="D165">
        <f>extras!$B$3</f>
        <v/>
      </c>
      <c r="E165">
        <f>extras!$B$6</f>
        <v/>
      </c>
      <c r="F165" s="4">
        <f>(1-H165)*B165+H165*C165</f>
        <v/>
      </c>
      <c r="G165" s="4">
        <f>IF($D$2=0,0,MAX(0,MIN(1,(A165-extras!$E$3*$D$2)/(extras!$E$4*$D$2))))</f>
        <v/>
      </c>
      <c r="H165" s="4">
        <f>$E$2*(G165^2*(3-2*G165))</f>
        <v/>
      </c>
    </row>
    <row r="166" ht="15.75" customHeight="1" s="5">
      <c r="A166" s="4">
        <f>$D$2*(164)/200</f>
        <v/>
      </c>
      <c r="B166" s="4" t="n">
        <v>0.03871197790128367</v>
      </c>
      <c r="C166" s="4" t="n">
        <v>0.0293240221130834</v>
      </c>
      <c r="D166">
        <f>extras!$B$3</f>
        <v/>
      </c>
      <c r="E166">
        <f>extras!$B$6</f>
        <v/>
      </c>
      <c r="F166" s="4">
        <f>(1-H166)*B166+H166*C166</f>
        <v/>
      </c>
      <c r="G166" s="4">
        <f>IF($D$2=0,0,MAX(0,MIN(1,(A166-extras!$E$3*$D$2)/(extras!$E$4*$D$2))))</f>
        <v/>
      </c>
      <c r="H166" s="4">
        <f>$E$2*(G166^2*(3-2*G166))</f>
        <v/>
      </c>
    </row>
    <row r="167" ht="15.75" customHeight="1" s="5">
      <c r="A167" s="4">
        <f>$D$2*(165)/200</f>
        <v/>
      </c>
      <c r="B167" s="4" t="n">
        <v>0.03878255450341239</v>
      </c>
      <c r="C167" s="4" t="n">
        <v>0.02959902904543578</v>
      </c>
      <c r="D167">
        <f>extras!$B$3</f>
        <v/>
      </c>
      <c r="E167">
        <f>extras!$B$6</f>
        <v/>
      </c>
      <c r="F167" s="4">
        <f>(1-H167)*B167+H167*C167</f>
        <v/>
      </c>
      <c r="G167" s="4">
        <f>IF($D$2=0,0,MAX(0,MIN(1,(A167-extras!$E$3*$D$2)/(extras!$E$4*$D$2))))</f>
        <v/>
      </c>
      <c r="H167" s="4">
        <f>$E$2*(G167^2*(3-2*G167))</f>
        <v/>
      </c>
    </row>
    <row r="168" ht="15.75" customHeight="1" s="5">
      <c r="A168" s="4">
        <f>$D$2*(166)/200</f>
        <v/>
      </c>
      <c r="B168" s="4" t="n">
        <v>0.03885114151417834</v>
      </c>
      <c r="C168" s="4" t="n">
        <v>0.02987588258214521</v>
      </c>
      <c r="D168">
        <f>extras!$B$3</f>
        <v/>
      </c>
      <c r="E168">
        <f>extras!$B$6</f>
        <v/>
      </c>
      <c r="F168" s="4">
        <f>(1-H168)*B168+H168*C168</f>
        <v/>
      </c>
      <c r="G168" s="4">
        <f>IF($D$2=0,0,MAX(0,MIN(1,(A168-extras!$E$3*$D$2)/(extras!$E$4*$D$2))))</f>
        <v/>
      </c>
      <c r="H168" s="4">
        <f>$E$2*(G168^2*(3-2*G168))</f>
        <v/>
      </c>
    </row>
    <row r="169" ht="15.75" customHeight="1" s="5">
      <c r="A169" s="4">
        <f>$D$2*(167)/200</f>
        <v/>
      </c>
      <c r="B169" s="4" t="n">
        <v>0.03891773906379425</v>
      </c>
      <c r="C169" s="4" t="n">
        <v>0.03015453618812565</v>
      </c>
      <c r="D169">
        <f>extras!$B$3</f>
        <v/>
      </c>
      <c r="E169">
        <f>extras!$B$6</f>
        <v/>
      </c>
      <c r="F169" s="4">
        <f>(1-H169)*B169+H169*C169</f>
        <v/>
      </c>
      <c r="G169" s="4">
        <f>IF($D$2=0,0,MAX(0,MIN(1,(A169-extras!$E$3*$D$2)/(extras!$E$4*$D$2))))</f>
        <v/>
      </c>
      <c r="H169" s="4">
        <f>$E$2*(G169^2*(3-2*G169))</f>
        <v/>
      </c>
    </row>
    <row r="170" ht="15.75" customHeight="1" s="5">
      <c r="A170" s="4">
        <f>$D$2*(168)/200</f>
        <v/>
      </c>
      <c r="B170" s="4" t="n">
        <v>0.03898234727868699</v>
      </c>
      <c r="C170" s="4" t="n">
        <v>0.03043494229273596</v>
      </c>
      <c r="D170">
        <f>extras!$B$3</f>
        <v/>
      </c>
      <c r="E170">
        <f>extras!$B$6</f>
        <v/>
      </c>
      <c r="F170" s="4">
        <f>(1-H170)*B170+H170*C170</f>
        <v/>
      </c>
      <c r="G170" s="4">
        <f>IF($D$2=0,0,MAX(0,MIN(1,(A170-extras!$E$3*$D$2)/(extras!$E$4*$D$2))))</f>
        <v/>
      </c>
      <c r="H170" s="4">
        <f>$E$2*(G170^2*(3-2*G170))</f>
        <v/>
      </c>
    </row>
    <row r="171" ht="15.75" customHeight="1" s="5">
      <c r="A171" s="4">
        <f>$D$2*(169)/200</f>
        <v/>
      </c>
      <c r="B171" s="4" t="n">
        <v>0.03904496628149401</v>
      </c>
      <c r="C171" s="4" t="n">
        <v>0.03071705243441835</v>
      </c>
      <c r="D171">
        <f>extras!$B$3</f>
        <v/>
      </c>
      <c r="E171">
        <f>extras!$B$6</f>
        <v/>
      </c>
      <c r="F171" s="4">
        <f>(1-H171)*B171+H171*C171</f>
        <v/>
      </c>
      <c r="G171" s="4">
        <f>IF($D$2=0,0,MAX(0,MIN(1,(A171-extras!$E$3*$D$2)/(extras!$E$4*$D$2))))</f>
        <v/>
      </c>
      <c r="H171" s="4">
        <f>$E$2*(G171^2*(3-2*G171))</f>
        <v/>
      </c>
    </row>
    <row r="172" ht="15.75" customHeight="1" s="5">
      <c r="A172" s="4">
        <f>$D$2*(170)/200</f>
        <v/>
      </c>
      <c r="B172" s="4" t="n">
        <v>0.03910559619106957</v>
      </c>
      <c r="C172" s="4" t="n">
        <v>0.0310008174002539</v>
      </c>
      <c r="D172">
        <f>extras!$B$3</f>
        <v/>
      </c>
      <c r="E172">
        <f>extras!$B$6</f>
        <v/>
      </c>
      <c r="F172" s="4">
        <f>(1-H172)*B172+H172*C172</f>
        <v/>
      </c>
      <c r="G172" s="4">
        <f>IF($D$2=0,0,MAX(0,MIN(1,(A172-extras!$E$3*$D$2)/(extras!$E$4*$D$2))))</f>
        <v/>
      </c>
      <c r="H172" s="4">
        <f>$E$2*(G172^2*(3-2*G172))</f>
        <v/>
      </c>
    </row>
    <row r="173" ht="15.75" customHeight="1" s="5">
      <c r="A173" s="4">
        <f>$D$2*(171)/200</f>
        <v/>
      </c>
      <c r="B173" s="4" t="n">
        <v>0.03916423712248207</v>
      </c>
      <c r="C173" s="4" t="n">
        <v>0.03128618736010876</v>
      </c>
      <c r="D173">
        <f>extras!$B$3</f>
        <v/>
      </c>
      <c r="E173">
        <f>extras!$B$6</f>
        <v/>
      </c>
      <c r="F173" s="4">
        <f>(1-H173)*B173+H173*C173</f>
        <v/>
      </c>
      <c r="G173" s="4">
        <f>IF($D$2=0,0,MAX(0,MIN(1,(A173-extras!$E$3*$D$2)/(extras!$E$4*$D$2))))</f>
        <v/>
      </c>
      <c r="H173" s="4">
        <f>$E$2*(G173^2*(3-2*G173))</f>
        <v/>
      </c>
    </row>
    <row r="174" ht="15.75" customHeight="1" s="5">
      <c r="A174" s="4">
        <f>$D$2*(172)/200</f>
        <v/>
      </c>
      <c r="B174" s="4" t="n">
        <v>0.03922088918701805</v>
      </c>
      <c r="C174" s="4" t="n">
        <v>0.031573111995092</v>
      </c>
      <c r="D174">
        <f>extras!$B$3</f>
        <v/>
      </c>
      <c r="E174">
        <f>extras!$B$6</f>
        <v/>
      </c>
      <c r="F174" s="4">
        <f>(1-H174)*B174+H174*C174</f>
        <v/>
      </c>
      <c r="G174" s="4">
        <f>IF($D$2=0,0,MAX(0,MIN(1,(A174-extras!$E$3*$D$2)/(extras!$E$4*$D$2))))</f>
        <v/>
      </c>
      <c r="H174" s="4">
        <f>$E$2*(G174^2*(3-2*G174))</f>
        <v/>
      </c>
    </row>
    <row r="175" ht="15.75" customHeight="1" s="5">
      <c r="A175" s="4">
        <f>$D$2*(173)/200</f>
        <v/>
      </c>
      <c r="B175" s="4" t="n">
        <v>0.03927555249217951</v>
      </c>
      <c r="C175" s="4" t="n">
        <v>0.03186154062009228</v>
      </c>
      <c r="D175">
        <f>extras!$B$3</f>
        <v/>
      </c>
      <c r="E175">
        <f>extras!$B$6</f>
        <v/>
      </c>
      <c r="F175" s="4">
        <f>(1-H175)*B175+H175*C175</f>
        <v/>
      </c>
      <c r="G175" s="4">
        <f>IF($D$2=0,0,MAX(0,MIN(1,(A175-extras!$E$3*$D$2)/(extras!$E$4*$D$2))))</f>
        <v/>
      </c>
      <c r="H175" s="4">
        <f>$E$2*(G175^2*(3-2*G175))</f>
        <v/>
      </c>
    </row>
    <row r="176" ht="15.75" customHeight="1" s="5">
      <c r="A176" s="4">
        <f>$D$2*(174)/200</f>
        <v/>
      </c>
      <c r="B176" s="4" t="n">
        <v>0.03932822714168971</v>
      </c>
      <c r="C176" s="4" t="n">
        <v>0.03215142230020562</v>
      </c>
      <c r="D176">
        <f>extras!$B$3</f>
        <v/>
      </c>
      <c r="E176">
        <f>extras!$B$6</f>
        <v/>
      </c>
      <c r="F176" s="4">
        <f>(1-H176)*B176+H176*C176</f>
        <v/>
      </c>
      <c r="G176" s="4">
        <f>IF($D$2=0,0,MAX(0,MIN(1,(A176-extras!$E$3*$D$2)/(extras!$E$4*$D$2))))</f>
        <v/>
      </c>
      <c r="H176" s="4">
        <f>$E$2*(G176^2*(3-2*G176))</f>
        <v/>
      </c>
    </row>
    <row r="177" ht="15.75" customHeight="1" s="5">
      <c r="A177" s="4">
        <f>$D$2*(175)/200</f>
        <v/>
      </c>
      <c r="B177" s="4" t="n">
        <v>0.03937891323549003</v>
      </c>
      <c r="C177" s="4" t="n">
        <v>0.03244270596090961</v>
      </c>
      <c r="D177">
        <f>extras!$B$3</f>
        <v/>
      </c>
      <c r="E177">
        <f>extras!$B$6</f>
        <v/>
      </c>
      <c r="F177" s="4">
        <f>(1-H177)*B177+H177*C177</f>
        <v/>
      </c>
      <c r="G177" s="4">
        <f>IF($D$2=0,0,MAX(0,MIN(1,(A177-extras!$E$3*$D$2)/(extras!$E$4*$D$2))))</f>
        <v/>
      </c>
      <c r="H177" s="4">
        <f>$E$2*(G177^2*(3-2*G177))</f>
        <v/>
      </c>
    </row>
    <row r="178" ht="15.75" customHeight="1" s="5">
      <c r="A178" s="4">
        <f>$D$2*(176)/200</f>
        <v/>
      </c>
      <c r="B178" s="4" t="n">
        <v>0.03942761086974311</v>
      </c>
      <c r="C178" s="4" t="n">
        <v>0.0327353404918812</v>
      </c>
      <c r="D178">
        <f>extras!$B$3</f>
        <v/>
      </c>
      <c r="E178">
        <f>extras!$B$6</f>
        <v/>
      </c>
      <c r="F178" s="4">
        <f>(1-H178)*B178+H178*C178</f>
        <v/>
      </c>
      <c r="G178" s="4">
        <f>IF($D$2=0,0,MAX(0,MIN(1,(A178-extras!$E$3*$D$2)/(extras!$E$4*$D$2))))</f>
        <v/>
      </c>
      <c r="H178" s="4">
        <f>$E$2*(G178^2*(3-2*G178))</f>
        <v/>
      </c>
    </row>
    <row r="179" ht="15.75" customHeight="1" s="5">
      <c r="A179" s="4">
        <f>$D$2*(177)/200</f>
        <v/>
      </c>
      <c r="B179" s="4" t="n">
        <v>0.03947432013683372</v>
      </c>
      <c r="C179" s="4" t="n">
        <v>0.03302927484439478</v>
      </c>
      <c r="D179">
        <f>extras!$B$3</f>
        <v/>
      </c>
      <c r="E179">
        <f>extras!$B$6</f>
        <v/>
      </c>
      <c r="F179" s="4">
        <f>(1-H179)*B179+H179*C179</f>
        <v/>
      </c>
      <c r="G179" s="4">
        <f>IF($D$2=0,0,MAX(0,MIN(1,(A179-extras!$E$3*$D$2)/(extras!$E$4*$D$2))))</f>
        <v/>
      </c>
      <c r="H179" s="4">
        <f>$E$2*(G179^2*(3-2*G179))</f>
        <v/>
      </c>
    </row>
    <row r="180" ht="15.75" customHeight="1" s="5">
      <c r="A180" s="4">
        <f>$D$2*(178)/200</f>
        <v/>
      </c>
      <c r="B180" s="4" t="n">
        <v>0.03951904112536786</v>
      </c>
      <c r="C180" s="4" t="n">
        <v>0.03332445812227463</v>
      </c>
      <c r="D180">
        <f>extras!$B$3</f>
        <v/>
      </c>
      <c r="E180">
        <f>extras!$B$6</f>
        <v/>
      </c>
      <c r="F180" s="4">
        <f>(1-H180)*B180+H180*C180</f>
        <v/>
      </c>
      <c r="G180" s="4">
        <f>IF($D$2=0,0,MAX(0,MIN(1,(A180-extras!$E$3*$D$2)/(extras!$E$4*$D$2))))</f>
        <v/>
      </c>
      <c r="H180" s="4">
        <f>$E$2*(G180^2*(3-2*G180))</f>
        <v/>
      </c>
    </row>
    <row r="181" ht="15.75" customHeight="1" s="5">
      <c r="A181" s="4">
        <f>$D$2*(179)/200</f>
        <v/>
      </c>
      <c r="B181" s="4" t="n">
        <v>0.03956177392017546</v>
      </c>
      <c r="C181" s="4" t="n">
        <v>0.03362083966641129</v>
      </c>
      <c r="D181">
        <f>extras!$B$3</f>
        <v/>
      </c>
      <c r="E181">
        <f>extras!$B$6</f>
        <v/>
      </c>
      <c r="F181" s="4">
        <f>(1-H181)*B181+H181*C181</f>
        <v/>
      </c>
      <c r="G181" s="4">
        <f>IF($D$2=0,0,MAX(0,MIN(1,(A181-extras!$E$3*$D$2)/(extras!$E$4*$D$2))))</f>
        <v/>
      </c>
      <c r="H181" s="4">
        <f>$E$2*(G181^2*(3-2*G181))</f>
        <v/>
      </c>
    </row>
    <row r="182" ht="15.75" customHeight="1" s="5">
      <c r="A182" s="4">
        <f>$D$2*(180)/200</f>
        <v/>
      </c>
      <c r="B182" s="4" t="n">
        <v>0.03960251860231168</v>
      </c>
      <c r="C182" s="4" t="n">
        <v>0.03391836913288439</v>
      </c>
      <c r="D182">
        <f>extras!$B$3</f>
        <v/>
      </c>
      <c r="E182">
        <f>extras!$B$6</f>
        <v/>
      </c>
      <c r="F182" s="4">
        <f>(1-H182)*B182+H182*C182</f>
        <v/>
      </c>
      <c r="G182" s="4">
        <f>IF($D$2=0,0,MAX(0,MIN(1,(A182-extras!$E$3*$D$2)/(extras!$E$4*$D$2))))</f>
        <v/>
      </c>
      <c r="H182" s="4">
        <f>$E$2*(G182^2*(3-2*G182))</f>
        <v/>
      </c>
    </row>
    <row r="183" ht="15.75" customHeight="1" s="5">
      <c r="A183" s="4">
        <f>$D$2*(181)/200</f>
        <v/>
      </c>
      <c r="B183" s="4" t="n">
        <v>0.0396412752490547</v>
      </c>
      <c r="C183" s="4" t="n">
        <v>0.03421699656476503</v>
      </c>
      <c r="D183">
        <f>extras!$B$3</f>
        <v/>
      </c>
      <c r="E183">
        <f>extras!$B$6</f>
        <v/>
      </c>
      <c r="F183" s="4">
        <f>(1-H183)*B183+H183*C183</f>
        <v/>
      </c>
      <c r="G183" s="4">
        <f>IF($D$2=0,0,MAX(0,MIN(1,(A183-extras!$E$3*$D$2)/(extras!$E$4*$D$2))))</f>
        <v/>
      </c>
      <c r="H183" s="4">
        <f>$E$2*(G183^2*(3-2*G183))</f>
        <v/>
      </c>
    </row>
    <row r="184" ht="15.75" customHeight="1" s="5">
      <c r="A184" s="4">
        <f>$D$2*(182)/200</f>
        <v/>
      </c>
      <c r="B184" s="4" t="n">
        <v>0.03967804393390972</v>
      </c>
      <c r="C184" s="4" t="n">
        <v>0.03451667245769884</v>
      </c>
      <c r="D184">
        <f>extras!$B$3</f>
        <v/>
      </c>
      <c r="E184">
        <f>extras!$B$6</f>
        <v/>
      </c>
      <c r="F184" s="4">
        <f>(1-H184)*B184+H184*C184</f>
        <v/>
      </c>
      <c r="G184" s="4">
        <f>IF($D$2=0,0,MAX(0,MIN(1,(A184-extras!$E$3*$D$2)/(extras!$E$4*$D$2))))</f>
        <v/>
      </c>
      <c r="H184" s="4">
        <f>$E$2*(G184^2*(3-2*G184))</f>
        <v/>
      </c>
    </row>
    <row r="185" ht="15.75" customHeight="1" s="5">
      <c r="A185" s="4">
        <f>$D$2*(183)/200</f>
        <v/>
      </c>
      <c r="B185" s="4" t="n">
        <v>0.03971282472660809</v>
      </c>
      <c r="C185" s="4" t="n">
        <v>0.03481734781939703</v>
      </c>
      <c r="D185">
        <f>extras!$B$3</f>
        <v/>
      </c>
      <c r="E185">
        <f>extras!$B$6</f>
        <v/>
      </c>
      <c r="F185" s="4">
        <f>(1-H185)*B185+H185*C185</f>
        <v/>
      </c>
      <c r="G185" s="4">
        <f>IF($D$2=0,0,MAX(0,MIN(1,(A185-extras!$E$3*$D$2)/(extras!$E$4*$D$2))))</f>
        <v/>
      </c>
      <c r="H185" s="4">
        <f>$E$2*(G185^2*(3-2*G185))</f>
        <v/>
      </c>
    </row>
    <row r="186" ht="15.75" customHeight="1" s="5">
      <c r="A186" s="4">
        <f>$D$2*(184)/200</f>
        <v/>
      </c>
      <c r="B186" s="4" t="n">
        <v>0.03974561769310681</v>
      </c>
      <c r="C186" s="4" t="n">
        <v>0.03511897422318542</v>
      </c>
      <c r="D186">
        <f>extras!$B$3</f>
        <v/>
      </c>
      <c r="E186">
        <f>extras!$B$6</f>
        <v/>
      </c>
      <c r="F186" s="4">
        <f>(1-H186)*B186+H186*C186</f>
        <v/>
      </c>
      <c r="G186" s="4">
        <f>IF($D$2=0,0,MAX(0,MIN(1,(A186-extras!$E$3*$D$2)/(extras!$E$4*$D$2))))</f>
        <v/>
      </c>
      <c r="H186" s="4">
        <f>$E$2*(G186^2*(3-2*G186))</f>
        <v/>
      </c>
    </row>
    <row r="187" ht="15.75" customHeight="1" s="5">
      <c r="A187" s="4">
        <f>$D$2*(185)/200</f>
        <v/>
      </c>
      <c r="B187" s="4" t="n">
        <v>0.03977642289559302</v>
      </c>
      <c r="C187" s="4" t="n">
        <v>0.03542150385578256</v>
      </c>
      <c r="D187">
        <f>extras!$B$3</f>
        <v/>
      </c>
      <c r="E187">
        <f>extras!$B$6</f>
        <v/>
      </c>
      <c r="F187" s="4">
        <f>(1-H187)*B187+H187*C187</f>
        <v/>
      </c>
      <c r="G187" s="4">
        <f>IF($D$2=0,0,MAX(0,MIN(1,(A187-extras!$E$3*$D$2)/(extras!$E$4*$D$2))))</f>
        <v/>
      </c>
      <c r="H187" s="4">
        <f>$E$2*(G187^2*(3-2*G187))</f>
        <v/>
      </c>
    </row>
    <row r="188" ht="15.75" customHeight="1" s="5">
      <c r="A188" s="4">
        <f>$D$2*(186)/200</f>
        <v/>
      </c>
      <c r="B188" s="4" t="n">
        <v>0.03980524039247957</v>
      </c>
      <c r="C188" s="4" t="n">
        <v>0.0357248895594964</v>
      </c>
      <c r="D188">
        <f>extras!$B$3</f>
        <v/>
      </c>
      <c r="E188">
        <f>extras!$B$6</f>
        <v/>
      </c>
      <c r="F188" s="4">
        <f>(1-H188)*B188+H188*C188</f>
        <v/>
      </c>
      <c r="G188" s="4">
        <f>IF($D$2=0,0,MAX(0,MIN(1,(A188-extras!$E$3*$D$2)/(extras!$E$4*$D$2))))</f>
        <v/>
      </c>
      <c r="H188" s="4">
        <f>$E$2*(G188^2*(3-2*G188))</f>
        <v/>
      </c>
    </row>
    <row r="189" ht="15.75" customHeight="1" s="5">
      <c r="A189" s="4">
        <f>$D$2*(187)/200</f>
        <v/>
      </c>
      <c r="B189" s="4" t="n">
        <v>0.03983207023840984</v>
      </c>
      <c r="C189" s="4" t="n">
        <v>0.03602908486904471</v>
      </c>
      <c r="D189">
        <f>extras!$B$3</f>
        <v/>
      </c>
      <c r="E189">
        <f>extras!$B$6</f>
        <v/>
      </c>
      <c r="F189" s="4">
        <f>(1-H189)*B189+H189*C189</f>
        <v/>
      </c>
      <c r="G189" s="4">
        <f>IF($D$2=0,0,MAX(0,MIN(1,(A189-extras!$E$3*$D$2)/(extras!$E$4*$D$2))))</f>
        <v/>
      </c>
      <c r="H189" s="4">
        <f>$E$2*(G189^2*(3-2*G189))</f>
        <v/>
      </c>
    </row>
    <row r="190" ht="15.75" customHeight="1" s="5">
      <c r="A190" s="4">
        <f>$D$2*(188)/200</f>
        <v/>
      </c>
      <c r="B190" s="4" t="n">
        <v>0.03985691248425516</v>
      </c>
      <c r="C190" s="4" t="n">
        <v>0.03633404404321831</v>
      </c>
      <c r="D190">
        <f>extras!$B$3</f>
        <v/>
      </c>
      <c r="E190">
        <f>extras!$B$6</f>
        <v/>
      </c>
      <c r="F190" s="4">
        <f>(1-H190)*B190+H190*C190</f>
        <v/>
      </c>
      <c r="G190" s="4">
        <f>IF($D$2=0,0,MAX(0,MIN(1,(A190-extras!$E$3*$D$2)/(extras!$E$4*$D$2))))</f>
        <v/>
      </c>
      <c r="H190" s="4">
        <f>$E$2*(G190^2*(3-2*G190))</f>
        <v/>
      </c>
    </row>
    <row r="191" ht="15.75" customHeight="1" s="5">
      <c r="A191" s="4">
        <f>$D$2*(189)/200</f>
        <v/>
      </c>
      <c r="B191" s="4" t="n">
        <v>0.03987976717711739</v>
      </c>
      <c r="C191" s="4" t="n">
        <v>0.03663972209161751</v>
      </c>
      <c r="D191">
        <f>extras!$B$3</f>
        <v/>
      </c>
      <c r="E191">
        <f>extras!$B$6</f>
        <v/>
      </c>
      <c r="F191" s="4">
        <f>(1-H191)*B191+H191*C191</f>
        <v/>
      </c>
      <c r="G191" s="4">
        <f>IF($D$2=0,0,MAX(0,MIN(1,(A191-extras!$E$3*$D$2)/(extras!$E$4*$D$2))))</f>
        <v/>
      </c>
      <c r="H191" s="4">
        <f>$E$2*(G191^2*(3-2*G191))</f>
        <v/>
      </c>
    </row>
    <row r="192" ht="15.75" customHeight="1" s="5">
      <c r="A192" s="4">
        <f>$D$2*(190)/200</f>
        <v/>
      </c>
      <c r="B192" s="4" t="n">
        <v>0.03990063436032942</v>
      </c>
      <c r="C192" s="4" t="n">
        <v>0.03694607479670088</v>
      </c>
      <c r="D192">
        <f>extras!$B$3</f>
        <v/>
      </c>
      <c r="E192">
        <f>extras!$B$6</f>
        <v/>
      </c>
      <c r="F192" s="4">
        <f>(1-H192)*B192+H192*C192</f>
        <v/>
      </c>
      <c r="G192" s="4">
        <f>IF($D$2=0,0,MAX(0,MIN(1,(A192-extras!$E$3*$D$2)/(extras!$E$4*$D$2))))</f>
        <v/>
      </c>
      <c r="H192" s="4">
        <f>$E$2*(G192^2*(3-2*G192))</f>
        <v/>
      </c>
    </row>
    <row r="193" ht="15.75" customHeight="1" s="5">
      <c r="A193" s="4">
        <f>$D$2*(191)/200</f>
        <v/>
      </c>
      <c r="B193" s="4" t="n">
        <v>0.03991951407345251</v>
      </c>
      <c r="C193" s="4" t="n">
        <v>0.0372530587313936</v>
      </c>
      <c r="D193">
        <f>extras!$B$3</f>
        <v/>
      </c>
      <c r="E193">
        <f>extras!$B$6</f>
        <v/>
      </c>
      <c r="F193" s="4">
        <f>(1-H193)*B193+H193*C193</f>
        <v/>
      </c>
      <c r="G193" s="4">
        <f>IF($D$2=0,0,MAX(0,MIN(1,(A193-extras!$E$3*$D$2)/(extras!$E$4*$D$2))))</f>
        <v/>
      </c>
      <c r="H193" s="4">
        <f>$E$2*(G193^2*(3-2*G193))</f>
        <v/>
      </c>
    </row>
    <row r="194" ht="15.75" customHeight="1" s="5">
      <c r="A194" s="4">
        <f>$D$2*(192)/200</f>
        <v/>
      </c>
      <c r="B194" s="4" t="n">
        <v>0.03993640635228113</v>
      </c>
      <c r="C194" s="4" t="n">
        <v>0.03756063127250659</v>
      </c>
      <c r="D194">
        <f>extras!$B$3</f>
        <v/>
      </c>
      <c r="E194">
        <f>extras!$B$6</f>
        <v/>
      </c>
      <c r="F194" s="4">
        <f>(1-H194)*B194+H194*C194</f>
        <v/>
      </c>
      <c r="G194" s="4">
        <f>IF($D$2=0,0,MAX(0,MIN(1,(A194-extras!$E$3*$D$2)/(extras!$E$4*$D$2))))</f>
        <v/>
      </c>
      <c r="H194" s="4">
        <f>$E$2*(G194^2*(3-2*G194))</f>
        <v/>
      </c>
    </row>
    <row r="195" ht="15.75" customHeight="1" s="5">
      <c r="A195" s="4">
        <f>$D$2*(193)/200</f>
        <v/>
      </c>
      <c r="B195" s="4" t="n">
        <v>0.03995131122884032</v>
      </c>
      <c r="C195" s="4" t="n">
        <v>0.03786875061022162</v>
      </c>
      <c r="D195">
        <f>extras!$B$3</f>
        <v/>
      </c>
      <c r="E195">
        <f>extras!$B$6</f>
        <v/>
      </c>
      <c r="F195" s="4">
        <f>(1-H195)*B195+H195*C195</f>
        <v/>
      </c>
      <c r="G195" s="4">
        <f>IF($D$2=0,0,MAX(0,MIN(1,(A195-extras!$E$3*$D$2)/(extras!$E$4*$D$2))))</f>
        <v/>
      </c>
      <c r="H195" s="4">
        <f>$E$2*(G195^2*(3-2*G195))</f>
        <v/>
      </c>
    </row>
    <row r="196" ht="15.75" customHeight="1" s="5">
      <c r="A196" s="4">
        <f>$D$2*(194)/200</f>
        <v/>
      </c>
      <c r="B196" s="4" t="n">
        <v>0.03996422873138572</v>
      </c>
      <c r="C196" s="4" t="n">
        <v>0.03817737575389905</v>
      </c>
      <c r="D196">
        <f>extras!$B$3</f>
        <v/>
      </c>
      <c r="E196">
        <f>extras!$B$6</f>
        <v/>
      </c>
      <c r="F196" s="4">
        <f>(1-H196)*B196+H196*C196</f>
        <v/>
      </c>
      <c r="G196" s="4">
        <f>IF($D$2=0,0,MAX(0,MIN(1,(A196-extras!$E$3*$D$2)/(extras!$E$4*$D$2))))</f>
        <v/>
      </c>
      <c r="H196" s="4">
        <f>$E$2*(G196^2*(3-2*G196))</f>
        <v/>
      </c>
    </row>
    <row r="197" ht="15.75" customHeight="1" s="5">
      <c r="A197" s="4">
        <f>$D$2*(195)/200</f>
        <v/>
      </c>
      <c r="B197" s="4" t="n">
        <v>0.03997515888440706</v>
      </c>
      <c r="C197" s="4" t="n">
        <v>0.03848646653446421</v>
      </c>
      <c r="D197">
        <f>extras!$B$3</f>
        <v/>
      </c>
      <c r="E197">
        <f>extras!$B$6</f>
        <v/>
      </c>
      <c r="F197" s="4">
        <f>(1-H197)*B197+H197*C197</f>
        <v/>
      </c>
      <c r="G197" s="4">
        <f>IF($D$2=0,0,MAX(0,MIN(1,(A197-extras!$E$3*$D$2)/(extras!$E$4*$D$2))))</f>
        <v/>
      </c>
      <c r="H197" s="4">
        <f>$E$2*(G197^2*(3-2*G197))</f>
        <v/>
      </c>
    </row>
    <row r="198" ht="15.75" customHeight="1" s="5">
      <c r="A198" s="4">
        <f>$D$2*(196)/200</f>
        <v/>
      </c>
      <c r="B198" s="4" t="n">
        <v>0.03998410170862421</v>
      </c>
      <c r="C198" s="4" t="n">
        <v>0.0387959836036275</v>
      </c>
      <c r="D198">
        <f>extras!$B$3</f>
        <v/>
      </c>
      <c r="E198">
        <f>extras!$B$6</f>
        <v/>
      </c>
      <c r="F198" s="4">
        <f>(1-H198)*B198+H198*C198</f>
        <v/>
      </c>
      <c r="G198" s="4">
        <f>IF($D$2=0,0,MAX(0,MIN(1,(A198-extras!$E$3*$D$2)/(extras!$E$4*$D$2))))</f>
        <v/>
      </c>
      <c r="H198" s="4">
        <f>$E$2*(G198^2*(3-2*G198))</f>
        <v/>
      </c>
    </row>
    <row r="199" ht="15.75" customHeight="1" s="5">
      <c r="A199" s="4">
        <f>$D$2*(197)/200</f>
        <v/>
      </c>
      <c r="B199" s="4" t="n">
        <v>0.03999105722099028</v>
      </c>
      <c r="C199" s="4" t="n">
        <v>0.03910588843018976</v>
      </c>
      <c r="D199">
        <f>extras!$B$3</f>
        <v/>
      </c>
      <c r="E199">
        <f>extras!$B$6</f>
        <v/>
      </c>
      <c r="F199" s="4">
        <f>(1-H199)*B199+H199*C199</f>
        <v/>
      </c>
      <c r="G199" s="4">
        <f>IF($D$2=0,0,MAX(0,MIN(1,(A199-extras!$E$3*$D$2)/(extras!$E$4*$D$2))))</f>
        <v/>
      </c>
      <c r="H199" s="4">
        <f>$E$2*(G199^2*(3-2*G199))</f>
        <v/>
      </c>
    </row>
    <row r="200" ht="15.75" customHeight="1" s="5">
      <c r="A200" s="4">
        <f>$D$2*(198)/200</f>
        <v/>
      </c>
      <c r="B200" s="4" t="n">
        <v>0.03999602543469027</v>
      </c>
      <c r="C200" s="4" t="n">
        <v>0.03941614329368014</v>
      </c>
      <c r="D200">
        <f>extras!$B$3</f>
        <v/>
      </c>
      <c r="E200">
        <f>extras!$B$6</f>
        <v/>
      </c>
      <c r="F200" s="4">
        <f>(1-H200)*B200+H200*C200</f>
        <v/>
      </c>
      <c r="G200" s="4">
        <f>IF($D$2=0,0,MAX(0,MIN(1,(A200-extras!$E$3*$D$2)/(extras!$E$4*$D$2))))</f>
        <v/>
      </c>
      <c r="H200" s="4">
        <f>$E$2*(G200^2*(3-2*G200))</f>
        <v/>
      </c>
    </row>
    <row r="201" ht="15.75" customHeight="1" s="5">
      <c r="A201" s="4">
        <f>$D$2*(199)/200</f>
        <v/>
      </c>
      <c r="B201" s="4" t="n">
        <v>0.03999900635914377</v>
      </c>
      <c r="C201" s="4" t="n">
        <v>0.03972671127556879</v>
      </c>
      <c r="D201">
        <f>extras!$B$3</f>
        <v/>
      </c>
      <c r="E201">
        <f>extras!$B$6</f>
        <v/>
      </c>
      <c r="F201" s="4">
        <f>(1-H201)*B201+H201*C201</f>
        <v/>
      </c>
      <c r="G201" s="4">
        <f>IF($D$2=0,0,MAX(0,MIN(1,(A201-extras!$E$3*$D$2)/(extras!$E$4*$D$2))))</f>
        <v/>
      </c>
      <c r="H201" s="4">
        <f>$E$2*(G201^2*(3-2*G201))</f>
        <v/>
      </c>
    </row>
    <row r="202" ht="15.75" customHeight="1" s="5">
      <c r="A202" s="4">
        <f>$D$2*(200)/200</f>
        <v/>
      </c>
      <c r="B202" s="4" t="n">
        <v>0.04000000000000004</v>
      </c>
      <c r="C202" s="4" t="n">
        <v>0.04</v>
      </c>
      <c r="D202">
        <f>extras!$B$3</f>
        <v/>
      </c>
      <c r="E202">
        <f>extras!$B$6</f>
        <v/>
      </c>
      <c r="F202" s="4">
        <f>(1-H202)*B202+H202*C202</f>
        <v/>
      </c>
      <c r="G202" s="4">
        <f>IF($D$2=0,0,MAX(0,MIN(1,(A202-extras!$E$3*$D$2)/(extras!$E$4*$D$2))))</f>
        <v/>
      </c>
      <c r="H202" s="4">
        <f>$E$2*(G202^2*(3-2*G202))</f>
        <v/>
      </c>
    </row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pane ySplit="2" topLeftCell="A3" activePane="bottomLeft" state="frozen"/>
      <selection pane="bottomLeft" activeCell="B12" sqref="B12"/>
    </sheetView>
  </sheetViews>
  <sheetFormatPr baseColWidth="8" defaultColWidth="14.43" defaultRowHeight="15" customHeight="1"/>
  <cols>
    <col width="12" customWidth="1" style="5" min="1" max="1"/>
    <col width="14" customWidth="1" style="5" min="2" max="2"/>
    <col width="12" customWidth="1" style="5" min="3" max="3"/>
    <col width="8.710000000000001" customWidth="1" style="5" min="4" max="22"/>
  </cols>
  <sheetData>
    <row r="1">
      <c r="A1" s="1" t="inlineStr">
        <is>
          <t>Parameters</t>
        </is>
      </c>
      <c r="D1" t="inlineStr">
        <is>
          <t>Blend parameters (used by 'blend' sheet)</t>
        </is>
      </c>
    </row>
    <row r="2">
      <c r="A2" s="1" t="inlineStr">
        <is>
          <t>Name</t>
        </is>
      </c>
      <c r="B2" s="1" t="inlineStr">
        <is>
          <t>Value</t>
        </is>
      </c>
      <c r="D2" t="inlineStr">
        <is>
          <t>Name</t>
        </is>
      </c>
      <c r="E2" t="inlineStr">
        <is>
          <t>Value</t>
        </is>
      </c>
    </row>
    <row r="3">
      <c r="A3" s="4" t="inlineStr">
        <is>
          <t>L_m</t>
        </is>
      </c>
      <c r="B3" s="4" t="n">
        <v>0.5</v>
      </c>
      <c r="D3" t="inlineStr">
        <is>
          <t>blend_start_fracL</t>
        </is>
      </c>
      <c r="E3" t="n">
        <v>0.2</v>
      </c>
    </row>
    <row r="4">
      <c r="A4" s="4" t="inlineStr">
        <is>
          <t>D_m</t>
        </is>
      </c>
      <c r="B4" s="4" t="n">
        <v>0.08</v>
      </c>
      <c r="D4" t="inlineStr">
        <is>
          <t>blend_span_fracL</t>
        </is>
      </c>
      <c r="E4" t="n">
        <v>0.6</v>
      </c>
    </row>
    <row r="5">
      <c r="A5" s="4" t="inlineStr">
        <is>
          <t>R_m</t>
        </is>
      </c>
      <c r="B5" s="4">
        <f>$B$4/2</f>
        <v/>
      </c>
      <c r="D5" t="inlineStr">
        <is>
          <t>blend_function</t>
        </is>
      </c>
      <c r="E5" t="inlineStr">
        <is>
          <t>smoothstep (3t^2-2t^3)</t>
        </is>
      </c>
    </row>
    <row r="6">
      <c r="A6" s="4" t="inlineStr">
        <is>
          <t>alpha_max</t>
        </is>
      </c>
      <c r="B6" s="4" t="n">
        <v>0.65</v>
      </c>
    </row>
    <row r="7">
      <c r="A7" s="4" t="inlineStr">
        <is>
          <t>bump_A_frac</t>
        </is>
      </c>
      <c r="B7" s="4" t="n">
        <v>0.1</v>
      </c>
    </row>
    <row r="8">
      <c r="A8" s="4" t="inlineStr">
        <is>
          <t>bump_c_fracL</t>
        </is>
      </c>
      <c r="B8" s="4" t="n">
        <v>0.45</v>
      </c>
    </row>
    <row r="9">
      <c r="A9" s="4" t="inlineStr">
        <is>
          <t>bump_w_fracL</t>
        </is>
      </c>
      <c r="B9" s="4" t="n">
        <v>0.18</v>
      </c>
    </row>
    <row r="10">
      <c r="A10" s="1" t="inlineStr">
        <is>
          <t>x_m</t>
        </is>
      </c>
      <c r="B10" s="1" t="inlineStr">
        <is>
          <t>r_ogive_m</t>
        </is>
      </c>
      <c r="C10" s="1" t="inlineStr">
        <is>
          <t>r_fish_m</t>
        </is>
      </c>
    </row>
    <row r="11">
      <c r="A11" s="4">
        <f>$B$3*(ROW()-11)/(201-1)
</f>
        <v/>
      </c>
      <c r="B11" s="4">
        <f>SQRT( MAX( ((($B$5^2+$B$3^2)/(2*$B$5))^2) - ($B$3-A11)^2 , 0) )
 - ((($B$5^2+$B$3^2)/(2*$B$5)) - $B$5)
</f>
        <v/>
      </c>
      <c r="C11" s="4">
        <f>MIN($B$5,
     $B$5*(1-COS(PI()*A11/(2*$B$3))) +
     ($B$7*$B$5)*EXP(-0.5*((A11/$B$3-$B$8)/$B$9)^2)
)
</f>
        <v/>
      </c>
    </row>
    <row r="12">
      <c r="A12" s="4">
        <f>$B$3*1/200</f>
        <v/>
      </c>
      <c r="B12" s="4">
        <f>SQRT(MAX((($B$5^2+$B$3^2)/(2*$B$5))^2-($B$3-A12)^2,0))-((($B$5^2+$B$3^2)/(2*$B$5))-$B$5)</f>
        <v/>
      </c>
      <c r="C12" s="4">
        <f>MIN($B$5,
$B$5*(1-COS(PI()*A12/(2*$B$3))) +
($B$7*$B$5)*EXP(-0.5*((A12/$B$3-$B$8)/$B$9)^2)
)
</f>
        <v/>
      </c>
    </row>
    <row r="13">
      <c r="A13" s="4">
        <f>$B$3*2/200</f>
        <v/>
      </c>
      <c r="B13" s="4">
        <f>SQRT(MAX((($B$5^2+$B$3^2)/(2*$B$5))^2-($B$3-A13)^2,0))-((($B$5^2+$B$3^2)/(2*$B$5))-$B$5)</f>
        <v/>
      </c>
      <c r="C13" s="4">
        <f>MIN($B$5,
$B$5*(1-COS(PI()*A13/(2*$B$3))) +
($B$7*$B$5)*EXP(-0.5*((A13/$B$3-$B$8)/$B$9)^2)
)
</f>
        <v/>
      </c>
    </row>
    <row r="14">
      <c r="A14" s="4">
        <f>$B$3*3/200</f>
        <v/>
      </c>
      <c r="B14" s="4">
        <f>SQRT(MAX((($B$5^2+$B$3^2)/(2*$B$5))^2-($B$3-A14)^2,0))-((($B$5^2+$B$3^2)/(2*$B$5))-$B$5)</f>
        <v/>
      </c>
      <c r="C14" s="4">
        <f>MIN($B$5,
$B$5*(1-COS(PI()*A14/(2*$B$3))) +
($B$7*$B$5)*EXP(-0.5*((A14/$B$3-$B$8)/$B$9)^2)
)
</f>
        <v/>
      </c>
    </row>
    <row r="15">
      <c r="A15" s="4">
        <f>$B$3*4/200</f>
        <v/>
      </c>
      <c r="B15" s="4">
        <f>SQRT(MAX((($B$5^2+$B$3^2)/(2*$B$5))^2-($B$3-A15)^2,0))-((($B$5^2+$B$3^2)/(2*$B$5))-$B$5)</f>
        <v/>
      </c>
      <c r="C15" s="4">
        <f>MIN($B$5,
$B$5*(1-COS(PI()*A15/(2*$B$3))) +
($B$7*$B$5)*EXP(-0.5*((A15/$B$3-$B$8)/$B$9)^2)
)
</f>
        <v/>
      </c>
    </row>
    <row r="16">
      <c r="A16" s="4">
        <f>$B$3*5/200</f>
        <v/>
      </c>
      <c r="B16" s="4">
        <f>SQRT(MAX((($B$5^2+$B$3^2)/(2*$B$5))^2-($B$3-A16)^2,0))-((($B$5^2+$B$3^2)/(2*$B$5))-$B$5)</f>
        <v/>
      </c>
      <c r="C16" s="4">
        <f>MIN($B$5,
$B$5*(1-COS(PI()*A16/(2*$B$3))) +
($B$7*$B$5)*EXP(-0.5*((A16/$B$3-$B$8)/$B$9)^2)
)
</f>
        <v/>
      </c>
    </row>
    <row r="17">
      <c r="A17" s="4">
        <f>$B$3*6/200</f>
        <v/>
      </c>
      <c r="B17" s="4">
        <f>SQRT(MAX((($B$5^2+$B$3^2)/(2*$B$5))^2-($B$3-A17)^2,0))-((($B$5^2+$B$3^2)/(2*$B$5))-$B$5)</f>
        <v/>
      </c>
      <c r="C17" s="4">
        <f>MIN($B$5,
$B$5*(1-COS(PI()*A17/(2*$B$3))) +
($B$7*$B$5)*EXP(-0.5*((A17/$B$3-$B$8)/$B$9)^2)
)
</f>
        <v/>
      </c>
    </row>
    <row r="18">
      <c r="A18" s="4">
        <f>$B$3*7/200</f>
        <v/>
      </c>
      <c r="B18" s="4">
        <f>SQRT(MAX((($B$5^2+$B$3^2)/(2*$B$5))^2-($B$3-A18)^2,0))-((($B$5^2+$B$3^2)/(2*$B$5))-$B$5)</f>
        <v/>
      </c>
      <c r="C18" s="4">
        <f>MIN($B$5,
$B$5*(1-COS(PI()*A18/(2*$B$3))) +
($B$7*$B$5)*EXP(-0.5*((A18/$B$3-$B$8)/$B$9)^2)
)
</f>
        <v/>
      </c>
    </row>
    <row r="19">
      <c r="A19" s="4">
        <f>$B$3*8/200</f>
        <v/>
      </c>
      <c r="B19" s="4">
        <f>SQRT(MAX((($B$5^2+$B$3^2)/(2*$B$5))^2-($B$3-A19)^2,0))-((($B$5^2+$B$3^2)/(2*$B$5))-$B$5)</f>
        <v/>
      </c>
      <c r="C19" s="4">
        <f>MIN($B$5,
$B$5*(1-COS(PI()*A19/(2*$B$3))) +
($B$7*$B$5)*EXP(-0.5*((A19/$B$3-$B$8)/$B$9)^2)
)
</f>
        <v/>
      </c>
    </row>
    <row r="20">
      <c r="A20" s="4">
        <f>$B$3*9/200</f>
        <v/>
      </c>
      <c r="B20" s="4">
        <f>SQRT(MAX((($B$5^2+$B$3^2)/(2*$B$5))^2-($B$3-A20)^2,0))-((($B$5^2+$B$3^2)/(2*$B$5))-$B$5)</f>
        <v/>
      </c>
      <c r="C20" s="4">
        <f>MIN($B$5,
$B$5*(1-COS(PI()*A20/(2*$B$3))) +
($B$7*$B$5)*EXP(-0.5*((A20/$B$3-$B$8)/$B$9)^2)
)
</f>
        <v/>
      </c>
    </row>
    <row r="21" ht="15.75" customHeight="1" s="5">
      <c r="A21" s="4">
        <f>$B$3*10/200</f>
        <v/>
      </c>
      <c r="B21" s="4">
        <f>SQRT(MAX((($B$5^2+$B$3^2)/(2*$B$5))^2-($B$3-A21)^2,0))-((($B$5^2+$B$3^2)/(2*$B$5))-$B$5)</f>
        <v/>
      </c>
      <c r="C21" s="4">
        <f>MIN($B$5,
$B$5*(1-COS(PI()*A21/(2*$B$3))) +
($B$7*$B$5)*EXP(-0.5*((A21/$B$3-$B$8)/$B$9)^2)
)
</f>
        <v/>
      </c>
    </row>
    <row r="22" ht="15.75" customHeight="1" s="5">
      <c r="A22" s="4">
        <f>$B$3*11/200</f>
        <v/>
      </c>
      <c r="B22" s="4">
        <f>SQRT(MAX((($B$5^2+$B$3^2)/(2*$B$5))^2-($B$3-A22)^2,0))-((($B$5^2+$B$3^2)/(2*$B$5))-$B$5)</f>
        <v/>
      </c>
      <c r="C22" s="4">
        <f>MIN($B$5,
$B$5*(1-COS(PI()*A22/(2*$B$3))) +
($B$7*$B$5)*EXP(-0.5*((A22/$B$3-$B$8)/$B$9)^2)
)
</f>
        <v/>
      </c>
    </row>
    <row r="23" ht="15.75" customHeight="1" s="5">
      <c r="A23" s="4">
        <f>$B$3*12/200</f>
        <v/>
      </c>
      <c r="B23" s="4">
        <f>SQRT(MAX((($B$5^2+$B$3^2)/(2*$B$5))^2-($B$3-A23)^2,0))-((($B$5^2+$B$3^2)/(2*$B$5))-$B$5)</f>
        <v/>
      </c>
      <c r="C23" s="4">
        <f>MIN($B$5,
$B$5*(1-COS(PI()*A23/(2*$B$3))) +
($B$7*$B$5)*EXP(-0.5*((A23/$B$3-$B$8)/$B$9)^2)
)
</f>
        <v/>
      </c>
    </row>
    <row r="24" ht="15.75" customHeight="1" s="5">
      <c r="A24" s="4">
        <f>$B$3*13/200</f>
        <v/>
      </c>
      <c r="B24" s="4">
        <f>SQRT(MAX((($B$5^2+$B$3^2)/(2*$B$5))^2-($B$3-A24)^2,0))-((($B$5^2+$B$3^2)/(2*$B$5))-$B$5)</f>
        <v/>
      </c>
      <c r="C24" s="4">
        <f>MIN($B$5,
$B$5*(1-COS(PI()*A24/(2*$B$3))) +
($B$7*$B$5)*EXP(-0.5*((A24/$B$3-$B$8)/$B$9)^2)
)
</f>
        <v/>
      </c>
    </row>
    <row r="25" ht="15.75" customHeight="1" s="5">
      <c r="A25" s="4">
        <f>$B$3*14/200</f>
        <v/>
      </c>
      <c r="B25" s="4">
        <f>SQRT(MAX((($B$5^2+$B$3^2)/(2*$B$5))^2-($B$3-A25)^2,0))-((($B$5^2+$B$3^2)/(2*$B$5))-$B$5)</f>
        <v/>
      </c>
      <c r="C25" s="4">
        <f>MIN($B$5,
$B$5*(1-COS(PI()*A25/(2*$B$3))) +
($B$7*$B$5)*EXP(-0.5*((A25/$B$3-$B$8)/$B$9)^2)
)
</f>
        <v/>
      </c>
    </row>
    <row r="26" ht="15.75" customHeight="1" s="5">
      <c r="A26" s="4">
        <f>$B$3*15/200</f>
        <v/>
      </c>
      <c r="B26" s="4">
        <f>SQRT(MAX((($B$5^2+$B$3^2)/(2*$B$5))^2-($B$3-A26)^2,0))-((($B$5^2+$B$3^2)/(2*$B$5))-$B$5)</f>
        <v/>
      </c>
      <c r="C26" s="4">
        <f>MIN($B$5,
$B$5*(1-COS(PI()*A26/(2*$B$3))) +
($B$7*$B$5)*EXP(-0.5*((A26/$B$3-$B$8)/$B$9)^2)
)
</f>
        <v/>
      </c>
    </row>
    <row r="27" ht="15.75" customHeight="1" s="5">
      <c r="A27" s="4">
        <f>$B$3*16/200</f>
        <v/>
      </c>
      <c r="B27" s="4">
        <f>SQRT(MAX((($B$5^2+$B$3^2)/(2*$B$5))^2-($B$3-A27)^2,0))-((($B$5^2+$B$3^2)/(2*$B$5))-$B$5)</f>
        <v/>
      </c>
      <c r="C27" s="4">
        <f>MIN($B$5,
$B$5*(1-COS(PI()*A27/(2*$B$3))) +
($B$7*$B$5)*EXP(-0.5*((A27/$B$3-$B$8)/$B$9)^2)
)
</f>
        <v/>
      </c>
    </row>
    <row r="28" ht="15.75" customHeight="1" s="5">
      <c r="A28" s="4">
        <f>$B$3*17/200</f>
        <v/>
      </c>
      <c r="B28" s="4">
        <f>SQRT(MAX((($B$5^2+$B$3^2)/(2*$B$5))^2-($B$3-A28)^2,0))-((($B$5^2+$B$3^2)/(2*$B$5))-$B$5)</f>
        <v/>
      </c>
      <c r="C28" s="4">
        <f>MIN($B$5,
$B$5*(1-COS(PI()*A28/(2*$B$3))) +
($B$7*$B$5)*EXP(-0.5*((A28/$B$3-$B$8)/$B$9)^2)
)
</f>
        <v/>
      </c>
    </row>
    <row r="29" ht="15.75" customHeight="1" s="5">
      <c r="A29" s="4">
        <f>$B$3*18/200</f>
        <v/>
      </c>
      <c r="B29" s="4">
        <f>SQRT(MAX((($B$5^2+$B$3^2)/(2*$B$5))^2-($B$3-A29)^2,0))-((($B$5^2+$B$3^2)/(2*$B$5))-$B$5)</f>
        <v/>
      </c>
      <c r="C29" s="4">
        <f>MIN($B$5,
$B$5*(1-COS(PI()*A29/(2*$B$3))) +
($B$7*$B$5)*EXP(-0.5*((A29/$B$3-$B$8)/$B$9)^2)
)
</f>
        <v/>
      </c>
    </row>
    <row r="30" ht="15.75" customHeight="1" s="5">
      <c r="A30" s="4">
        <f>$B$3*19/200</f>
        <v/>
      </c>
      <c r="B30" s="4">
        <f>SQRT(MAX((($B$5^2+$B$3^2)/(2*$B$5))^2-($B$3-A30)^2,0))-((($B$5^2+$B$3^2)/(2*$B$5))-$B$5)</f>
        <v/>
      </c>
      <c r="C30" s="4">
        <f>MIN($B$5,
$B$5*(1-COS(PI()*A30/(2*$B$3))) +
($B$7*$B$5)*EXP(-0.5*((A30/$B$3-$B$8)/$B$9)^2)
)
</f>
        <v/>
      </c>
    </row>
    <row r="31" ht="15.75" customHeight="1" s="5">
      <c r="A31" s="4">
        <f>$B$3*20/200</f>
        <v/>
      </c>
      <c r="B31" s="4">
        <f>SQRT(MAX((($B$5^2+$B$3^2)/(2*$B$5))^2-($B$3-A31)^2,0))-((($B$5^2+$B$3^2)/(2*$B$5))-$B$5)</f>
        <v/>
      </c>
      <c r="C31" s="4">
        <f>MIN($B$5,
$B$5*(1-COS(PI()*A31/(2*$B$3))) +
($B$7*$B$5)*EXP(-0.5*((A31/$B$3-$B$8)/$B$9)^2)
)
</f>
        <v/>
      </c>
    </row>
    <row r="32" ht="15.75" customHeight="1" s="5">
      <c r="A32" s="4">
        <f>$B$3*21/200</f>
        <v/>
      </c>
      <c r="B32" s="4">
        <f>SQRT(MAX((($B$5^2+$B$3^2)/(2*$B$5))^2-($B$3-A32)^2,0))-((($B$5^2+$B$3^2)/(2*$B$5))-$B$5)</f>
        <v/>
      </c>
      <c r="C32" s="4">
        <f>MIN($B$5,
$B$5*(1-COS(PI()*A32/(2*$B$3))) +
($B$7*$B$5)*EXP(-0.5*((A32/$B$3-$B$8)/$B$9)^2)
)
</f>
        <v/>
      </c>
    </row>
    <row r="33" ht="15.75" customHeight="1" s="5">
      <c r="A33" s="4">
        <f>$B$3*22/200</f>
        <v/>
      </c>
      <c r="B33" s="4">
        <f>SQRT(MAX((($B$5^2+$B$3^2)/(2*$B$5))^2-($B$3-A33)^2,0))-((($B$5^2+$B$3^2)/(2*$B$5))-$B$5)</f>
        <v/>
      </c>
      <c r="C33" s="4">
        <f>MIN($B$5,
$B$5*(1-COS(PI()*A33/(2*$B$3))) +
($B$7*$B$5)*EXP(-0.5*((A33/$B$3-$B$8)/$B$9)^2)
)
</f>
        <v/>
      </c>
    </row>
    <row r="34" ht="15.75" customHeight="1" s="5">
      <c r="A34" s="4">
        <f>$B$3*23/200</f>
        <v/>
      </c>
      <c r="B34" s="4">
        <f>SQRT(MAX((($B$5^2+$B$3^2)/(2*$B$5))^2-($B$3-A34)^2,0))-((($B$5^2+$B$3^2)/(2*$B$5))-$B$5)</f>
        <v/>
      </c>
      <c r="C34" s="4">
        <f>MIN($B$5,
$B$5*(1-COS(PI()*A34/(2*$B$3))) +
($B$7*$B$5)*EXP(-0.5*((A34/$B$3-$B$8)/$B$9)^2)
)
</f>
        <v/>
      </c>
    </row>
    <row r="35" ht="15.75" customHeight="1" s="5">
      <c r="A35" s="4">
        <f>$B$3*24/200</f>
        <v/>
      </c>
      <c r="B35" s="4">
        <f>SQRT(MAX((($B$5^2+$B$3^2)/(2*$B$5))^2-($B$3-A35)^2,0))-((($B$5^2+$B$3^2)/(2*$B$5))-$B$5)</f>
        <v/>
      </c>
      <c r="C35" s="4">
        <f>MIN($B$5,
$B$5*(1-COS(PI()*A35/(2*$B$3))) +
($B$7*$B$5)*EXP(-0.5*((A35/$B$3-$B$8)/$B$9)^2)
)
</f>
        <v/>
      </c>
    </row>
    <row r="36" ht="15.75" customHeight="1" s="5">
      <c r="A36" s="4">
        <f>$B$3*25/200</f>
        <v/>
      </c>
      <c r="B36" s="4">
        <f>SQRT(MAX((($B$5^2+$B$3^2)/(2*$B$5))^2-($B$3-A36)^2,0))-((($B$5^2+$B$3^2)/(2*$B$5))-$B$5)</f>
        <v/>
      </c>
      <c r="C36" s="4">
        <f>MIN($B$5,
$B$5*(1-COS(PI()*A36/(2*$B$3))) +
($B$7*$B$5)*EXP(-0.5*((A36/$B$3-$B$8)/$B$9)^2)
)
</f>
        <v/>
      </c>
    </row>
    <row r="37" ht="15.75" customHeight="1" s="5">
      <c r="A37" s="4">
        <f>$B$3*26/200</f>
        <v/>
      </c>
      <c r="B37" s="4">
        <f>SQRT(MAX((($B$5^2+$B$3^2)/(2*$B$5))^2-($B$3-A37)^2,0))-((($B$5^2+$B$3^2)/(2*$B$5))-$B$5)</f>
        <v/>
      </c>
      <c r="C37" s="4">
        <f>MIN($B$5,
$B$5*(1-COS(PI()*A37/(2*$B$3))) +
($B$7*$B$5)*EXP(-0.5*((A37/$B$3-$B$8)/$B$9)^2)
)
</f>
        <v/>
      </c>
    </row>
    <row r="38" ht="15.75" customHeight="1" s="5">
      <c r="A38" s="4">
        <f>$B$3*27/200</f>
        <v/>
      </c>
      <c r="B38" s="4">
        <f>SQRT(MAX((($B$5^2+$B$3^2)/(2*$B$5))^2-($B$3-A38)^2,0))-((($B$5^2+$B$3^2)/(2*$B$5))-$B$5)</f>
        <v/>
      </c>
      <c r="C38" s="4">
        <f>MIN($B$5,
$B$5*(1-COS(PI()*A38/(2*$B$3))) +
($B$7*$B$5)*EXP(-0.5*((A38/$B$3-$B$8)/$B$9)^2)
)
</f>
        <v/>
      </c>
    </row>
    <row r="39" ht="15.75" customHeight="1" s="5">
      <c r="A39" s="4">
        <f>$B$3*28/200</f>
        <v/>
      </c>
      <c r="B39" s="4">
        <f>SQRT(MAX((($B$5^2+$B$3^2)/(2*$B$5))^2-($B$3-A39)^2,0))-((($B$5^2+$B$3^2)/(2*$B$5))-$B$5)</f>
        <v/>
      </c>
      <c r="C39" s="4">
        <f>MIN($B$5,
$B$5*(1-COS(PI()*A39/(2*$B$3))) +
($B$7*$B$5)*EXP(-0.5*((A39/$B$3-$B$8)/$B$9)^2)
)
</f>
        <v/>
      </c>
    </row>
    <row r="40" ht="15.75" customHeight="1" s="5">
      <c r="A40" s="4">
        <f>$B$3*29/200</f>
        <v/>
      </c>
      <c r="B40" s="4">
        <f>SQRT(MAX((($B$5^2+$B$3^2)/(2*$B$5))^2-($B$3-A40)^2,0))-((($B$5^2+$B$3^2)/(2*$B$5))-$B$5)</f>
        <v/>
      </c>
      <c r="C40" s="4">
        <f>MIN($B$5,
$B$5*(1-COS(PI()*A40/(2*$B$3))) +
($B$7*$B$5)*EXP(-0.5*((A40/$B$3-$B$8)/$B$9)^2)
)
</f>
        <v/>
      </c>
    </row>
    <row r="41" ht="15.75" customHeight="1" s="5">
      <c r="A41" s="4">
        <f>$B$3*30/200</f>
        <v/>
      </c>
      <c r="B41" s="4">
        <f>SQRT(MAX((($B$5^2+$B$3^2)/(2*$B$5))^2-($B$3-A41)^2,0))-((($B$5^2+$B$3^2)/(2*$B$5))-$B$5)</f>
        <v/>
      </c>
      <c r="C41" s="4">
        <f>MIN($B$5,
$B$5*(1-COS(PI()*A41/(2*$B$3))) +
($B$7*$B$5)*EXP(-0.5*((A41/$B$3-$B$8)/$B$9)^2)
)
</f>
        <v/>
      </c>
    </row>
    <row r="42" ht="15.75" customHeight="1" s="5">
      <c r="A42" s="4">
        <f>$B$3*31/200</f>
        <v/>
      </c>
      <c r="B42" s="4">
        <f>SQRT(MAX((($B$5^2+$B$3^2)/(2*$B$5))^2-($B$3-A42)^2,0))-((($B$5^2+$B$3^2)/(2*$B$5))-$B$5)</f>
        <v/>
      </c>
      <c r="C42" s="4">
        <f>MIN($B$5,
$B$5*(1-COS(PI()*A42/(2*$B$3))) +
($B$7*$B$5)*EXP(-0.5*((A42/$B$3-$B$8)/$B$9)^2)
)
</f>
        <v/>
      </c>
    </row>
    <row r="43" ht="15.75" customHeight="1" s="5">
      <c r="A43" s="4">
        <f>$B$3*32/200</f>
        <v/>
      </c>
      <c r="B43" s="4">
        <f>SQRT(MAX((($B$5^2+$B$3^2)/(2*$B$5))^2-($B$3-A43)^2,0))-((($B$5^2+$B$3^2)/(2*$B$5))-$B$5)</f>
        <v/>
      </c>
      <c r="C43" s="4">
        <f>MIN($B$5,
$B$5*(1-COS(PI()*A43/(2*$B$3))) +
($B$7*$B$5)*EXP(-0.5*((A43/$B$3-$B$8)/$B$9)^2)
)
</f>
        <v/>
      </c>
    </row>
    <row r="44" ht="15.75" customHeight="1" s="5">
      <c r="A44" s="4">
        <f>$B$3*33/200</f>
        <v/>
      </c>
      <c r="B44" s="4">
        <f>SQRT(MAX((($B$5^2+$B$3^2)/(2*$B$5))^2-($B$3-A44)^2,0))-((($B$5^2+$B$3^2)/(2*$B$5))-$B$5)</f>
        <v/>
      </c>
      <c r="C44" s="4">
        <f>MIN($B$5,
$B$5*(1-COS(PI()*A44/(2*$B$3))) +
($B$7*$B$5)*EXP(-0.5*((A44/$B$3-$B$8)/$B$9)^2)
)
</f>
        <v/>
      </c>
    </row>
    <row r="45" ht="15.75" customHeight="1" s="5">
      <c r="A45" s="4">
        <f>$B$3*34/200</f>
        <v/>
      </c>
      <c r="B45" s="4">
        <f>SQRT(MAX((($B$5^2+$B$3^2)/(2*$B$5))^2-($B$3-A45)^2,0))-((($B$5^2+$B$3^2)/(2*$B$5))-$B$5)</f>
        <v/>
      </c>
      <c r="C45" s="4">
        <f>MIN($B$5,
$B$5*(1-COS(PI()*A45/(2*$B$3))) +
($B$7*$B$5)*EXP(-0.5*((A45/$B$3-$B$8)/$B$9)^2)
)
</f>
        <v/>
      </c>
    </row>
    <row r="46" ht="15.75" customHeight="1" s="5">
      <c r="A46" s="4">
        <f>$B$3*35/200</f>
        <v/>
      </c>
      <c r="B46" s="4">
        <f>SQRT(MAX((($B$5^2+$B$3^2)/(2*$B$5))^2-($B$3-A46)^2,0))-((($B$5^2+$B$3^2)/(2*$B$5))-$B$5)</f>
        <v/>
      </c>
      <c r="C46" s="4">
        <f>MIN($B$5,
$B$5*(1-COS(PI()*A46/(2*$B$3))) +
($B$7*$B$5)*EXP(-0.5*((A46/$B$3-$B$8)/$B$9)^2)
)
</f>
        <v/>
      </c>
    </row>
    <row r="47" ht="15.75" customHeight="1" s="5">
      <c r="A47" s="4">
        <f>$B$3*36/200</f>
        <v/>
      </c>
      <c r="B47" s="4">
        <f>SQRT(MAX((($B$5^2+$B$3^2)/(2*$B$5))^2-($B$3-A47)^2,0))-((($B$5^2+$B$3^2)/(2*$B$5))-$B$5)</f>
        <v/>
      </c>
      <c r="C47" s="4">
        <f>MIN($B$5,
$B$5*(1-COS(PI()*A47/(2*$B$3))) +
($B$7*$B$5)*EXP(-0.5*((A47/$B$3-$B$8)/$B$9)^2)
)
</f>
        <v/>
      </c>
    </row>
    <row r="48" ht="15.75" customHeight="1" s="5">
      <c r="A48" s="4">
        <f>$B$3*37/200</f>
        <v/>
      </c>
      <c r="B48" s="4">
        <f>SQRT(MAX((($B$5^2+$B$3^2)/(2*$B$5))^2-($B$3-A48)^2,0))-((($B$5^2+$B$3^2)/(2*$B$5))-$B$5)</f>
        <v/>
      </c>
      <c r="C48" s="4">
        <f>MIN($B$5,
$B$5*(1-COS(PI()*A48/(2*$B$3))) +
($B$7*$B$5)*EXP(-0.5*((A48/$B$3-$B$8)/$B$9)^2)
)
</f>
        <v/>
      </c>
    </row>
    <row r="49" ht="15.75" customHeight="1" s="5">
      <c r="A49" s="4">
        <f>$B$3*38/200</f>
        <v/>
      </c>
      <c r="B49" s="4">
        <f>SQRT(MAX((($B$5^2+$B$3^2)/(2*$B$5))^2-($B$3-A49)^2,0))-((($B$5^2+$B$3^2)/(2*$B$5))-$B$5)</f>
        <v/>
      </c>
      <c r="C49" s="4">
        <f>MIN($B$5,
$B$5*(1-COS(PI()*A49/(2*$B$3))) +
($B$7*$B$5)*EXP(-0.5*((A49/$B$3-$B$8)/$B$9)^2)
)
</f>
        <v/>
      </c>
    </row>
    <row r="50" ht="15.75" customHeight="1" s="5">
      <c r="A50" s="4">
        <f>$B$3*39/200</f>
        <v/>
      </c>
      <c r="B50" s="4">
        <f>SQRT(MAX((($B$5^2+$B$3^2)/(2*$B$5))^2-($B$3-A50)^2,0))-((($B$5^2+$B$3^2)/(2*$B$5))-$B$5)</f>
        <v/>
      </c>
      <c r="C50" s="4">
        <f>MIN($B$5,
$B$5*(1-COS(PI()*A50/(2*$B$3))) +
($B$7*$B$5)*EXP(-0.5*((A50/$B$3-$B$8)/$B$9)^2)
)
</f>
        <v/>
      </c>
    </row>
    <row r="51" ht="15.75" customHeight="1" s="5">
      <c r="A51" s="4">
        <f>$B$3*40/200</f>
        <v/>
      </c>
      <c r="B51" s="4">
        <f>SQRT(MAX((($B$5^2+$B$3^2)/(2*$B$5))^2-($B$3-A51)^2,0))-((($B$5^2+$B$3^2)/(2*$B$5))-$B$5)</f>
        <v/>
      </c>
      <c r="C51" s="4">
        <f>MIN($B$5,
$B$5*(1-COS(PI()*A51/(2*$B$3))) +
($B$7*$B$5)*EXP(-0.5*((A51/$B$3-$B$8)/$B$9)^2)
)
</f>
        <v/>
      </c>
    </row>
    <row r="52" ht="15.75" customHeight="1" s="5">
      <c r="A52" s="4">
        <f>$B$3*41/200</f>
        <v/>
      </c>
      <c r="B52" s="4">
        <f>SQRT(MAX((($B$5^2+$B$3^2)/(2*$B$5))^2-($B$3-A52)^2,0))-((($B$5^2+$B$3^2)/(2*$B$5))-$B$5)</f>
        <v/>
      </c>
      <c r="C52" s="4">
        <f>MIN($B$5,
$B$5*(1-COS(PI()*A52/(2*$B$3))) +
($B$7*$B$5)*EXP(-0.5*((A52/$B$3-$B$8)/$B$9)^2)
)
</f>
        <v/>
      </c>
    </row>
    <row r="53" ht="15.75" customHeight="1" s="5">
      <c r="A53" s="4">
        <f>$B$3*42/200</f>
        <v/>
      </c>
      <c r="B53" s="4">
        <f>SQRT(MAX((($B$5^2+$B$3^2)/(2*$B$5))^2-($B$3-A53)^2,0))-((($B$5^2+$B$3^2)/(2*$B$5))-$B$5)</f>
        <v/>
      </c>
      <c r="C53" s="4">
        <f>MIN($B$5,
$B$5*(1-COS(PI()*A53/(2*$B$3))) +
($B$7*$B$5)*EXP(-0.5*((A53/$B$3-$B$8)/$B$9)^2)
)
</f>
        <v/>
      </c>
    </row>
    <row r="54" ht="15.75" customHeight="1" s="5">
      <c r="A54" s="4">
        <f>$B$3*43/200</f>
        <v/>
      </c>
      <c r="B54" s="4">
        <f>SQRT(MAX((($B$5^2+$B$3^2)/(2*$B$5))^2-($B$3-A54)^2,0))-((($B$5^2+$B$3^2)/(2*$B$5))-$B$5)</f>
        <v/>
      </c>
      <c r="C54" s="4">
        <f>MIN($B$5,
$B$5*(1-COS(PI()*A54/(2*$B$3))) +
($B$7*$B$5)*EXP(-0.5*((A54/$B$3-$B$8)/$B$9)^2)
)
</f>
        <v/>
      </c>
    </row>
    <row r="55" ht="15.75" customHeight="1" s="5">
      <c r="A55" s="4">
        <f>$B$3*44/200</f>
        <v/>
      </c>
      <c r="B55" s="4">
        <f>SQRT(MAX((($B$5^2+$B$3^2)/(2*$B$5))^2-($B$3-A55)^2,0))-((($B$5^2+$B$3^2)/(2*$B$5))-$B$5)</f>
        <v/>
      </c>
      <c r="C55" s="4">
        <f>MIN($B$5,
$B$5*(1-COS(PI()*A55/(2*$B$3))) +
($B$7*$B$5)*EXP(-0.5*((A55/$B$3-$B$8)/$B$9)^2)
)
</f>
        <v/>
      </c>
    </row>
    <row r="56" ht="15.75" customHeight="1" s="5">
      <c r="A56" s="4">
        <f>$B$3*45/200</f>
        <v/>
      </c>
      <c r="B56" s="4">
        <f>SQRT(MAX((($B$5^2+$B$3^2)/(2*$B$5))^2-($B$3-A56)^2,0))-((($B$5^2+$B$3^2)/(2*$B$5))-$B$5)</f>
        <v/>
      </c>
      <c r="C56" s="4">
        <f>MIN($B$5,
$B$5*(1-COS(PI()*A56/(2*$B$3))) +
($B$7*$B$5)*EXP(-0.5*((A56/$B$3-$B$8)/$B$9)^2)
)
</f>
        <v/>
      </c>
    </row>
    <row r="57" ht="15.75" customHeight="1" s="5">
      <c r="A57" s="4">
        <f>$B$3*46/200</f>
        <v/>
      </c>
      <c r="B57" s="4">
        <f>SQRT(MAX((($B$5^2+$B$3^2)/(2*$B$5))^2-($B$3-A57)^2,0))-((($B$5^2+$B$3^2)/(2*$B$5))-$B$5)</f>
        <v/>
      </c>
      <c r="C57" s="4">
        <f>MIN($B$5,
$B$5*(1-COS(PI()*A57/(2*$B$3))) +
($B$7*$B$5)*EXP(-0.5*((A57/$B$3-$B$8)/$B$9)^2)
)
</f>
        <v/>
      </c>
    </row>
    <row r="58" ht="15.75" customHeight="1" s="5">
      <c r="A58" s="4">
        <f>$B$3*47/200</f>
        <v/>
      </c>
      <c r="B58" s="4">
        <f>SQRT(MAX((($B$5^2+$B$3^2)/(2*$B$5))^2-($B$3-A58)^2,0))-((($B$5^2+$B$3^2)/(2*$B$5))-$B$5)</f>
        <v/>
      </c>
      <c r="C58" s="4">
        <f>MIN($B$5,
$B$5*(1-COS(PI()*A58/(2*$B$3))) +
($B$7*$B$5)*EXP(-0.5*((A58/$B$3-$B$8)/$B$9)^2)
)
</f>
        <v/>
      </c>
    </row>
    <row r="59" ht="15.75" customHeight="1" s="5">
      <c r="A59" s="4">
        <f>$B$3*48/200</f>
        <v/>
      </c>
      <c r="B59" s="4">
        <f>SQRT(MAX((($B$5^2+$B$3^2)/(2*$B$5))^2-($B$3-A59)^2,0))-((($B$5^2+$B$3^2)/(2*$B$5))-$B$5)</f>
        <v/>
      </c>
      <c r="C59" s="4">
        <f>MIN($B$5,
$B$5*(1-COS(PI()*A59/(2*$B$3))) +
($B$7*$B$5)*EXP(-0.5*((A59/$B$3-$B$8)/$B$9)^2)
)
</f>
        <v/>
      </c>
    </row>
    <row r="60" ht="15.75" customHeight="1" s="5">
      <c r="A60" s="4">
        <f>$B$3*49/200</f>
        <v/>
      </c>
      <c r="B60" s="4">
        <f>SQRT(MAX((($B$5^2+$B$3^2)/(2*$B$5))^2-($B$3-A60)^2,0))-((($B$5^2+$B$3^2)/(2*$B$5))-$B$5)</f>
        <v/>
      </c>
      <c r="C60" s="4">
        <f>MIN($B$5,
$B$5*(1-COS(PI()*A60/(2*$B$3))) +
($B$7*$B$5)*EXP(-0.5*((A60/$B$3-$B$8)/$B$9)^2)
)
</f>
        <v/>
      </c>
    </row>
    <row r="61" ht="15.75" customHeight="1" s="5">
      <c r="A61" s="4">
        <f>$B$3*50/200</f>
        <v/>
      </c>
      <c r="B61" s="4">
        <f>SQRT(MAX((($B$5^2+$B$3^2)/(2*$B$5))^2-($B$3-A61)^2,0))-((($B$5^2+$B$3^2)/(2*$B$5))-$B$5)</f>
        <v/>
      </c>
      <c r="C61" s="4">
        <f>MIN($B$5,
$B$5*(1-COS(PI()*A61/(2*$B$3))) +
($B$7*$B$5)*EXP(-0.5*((A61/$B$3-$B$8)/$B$9)^2)
)
</f>
        <v/>
      </c>
    </row>
    <row r="62" ht="15.75" customHeight="1" s="5">
      <c r="A62" s="4">
        <f>$B$3*51/200</f>
        <v/>
      </c>
      <c r="B62" s="4">
        <f>SQRT(MAX((($B$5^2+$B$3^2)/(2*$B$5))^2-($B$3-A62)^2,0))-((($B$5^2+$B$3^2)/(2*$B$5))-$B$5)</f>
        <v/>
      </c>
      <c r="C62" s="4">
        <f>MIN($B$5,
$B$5*(1-COS(PI()*A62/(2*$B$3))) +
($B$7*$B$5)*EXP(-0.5*((A62/$B$3-$B$8)/$B$9)^2)
)
</f>
        <v/>
      </c>
    </row>
    <row r="63" ht="15.75" customHeight="1" s="5">
      <c r="A63" s="4">
        <f>$B$3*52/200</f>
        <v/>
      </c>
      <c r="B63" s="4">
        <f>SQRT(MAX((($B$5^2+$B$3^2)/(2*$B$5))^2-($B$3-A63)^2,0))-((($B$5^2+$B$3^2)/(2*$B$5))-$B$5)</f>
        <v/>
      </c>
      <c r="C63" s="4">
        <f>MIN($B$5,
$B$5*(1-COS(PI()*A63/(2*$B$3))) +
($B$7*$B$5)*EXP(-0.5*((A63/$B$3-$B$8)/$B$9)^2)
)
</f>
        <v/>
      </c>
    </row>
    <row r="64" ht="15.75" customHeight="1" s="5">
      <c r="A64" s="4">
        <f>$B$3*53/200</f>
        <v/>
      </c>
      <c r="B64" s="4">
        <f>SQRT(MAX((($B$5^2+$B$3^2)/(2*$B$5))^2-($B$3-A64)^2,0))-((($B$5^2+$B$3^2)/(2*$B$5))-$B$5)</f>
        <v/>
      </c>
      <c r="C64" s="4">
        <f>MIN($B$5,
$B$5*(1-COS(PI()*A64/(2*$B$3))) +
($B$7*$B$5)*EXP(-0.5*((A64/$B$3-$B$8)/$B$9)^2)
)
</f>
        <v/>
      </c>
    </row>
    <row r="65" ht="15.75" customHeight="1" s="5">
      <c r="A65" s="4">
        <f>$B$3*54/200</f>
        <v/>
      </c>
      <c r="B65" s="4">
        <f>SQRT(MAX((($B$5^2+$B$3^2)/(2*$B$5))^2-($B$3-A65)^2,0))-((($B$5^2+$B$3^2)/(2*$B$5))-$B$5)</f>
        <v/>
      </c>
      <c r="C65" s="4">
        <f>MIN($B$5,
$B$5*(1-COS(PI()*A65/(2*$B$3))) +
($B$7*$B$5)*EXP(-0.5*((A65/$B$3-$B$8)/$B$9)^2)
)
</f>
        <v/>
      </c>
    </row>
    <row r="66" ht="15.75" customHeight="1" s="5">
      <c r="A66" s="4">
        <f>$B$3*55/200</f>
        <v/>
      </c>
      <c r="B66" s="4">
        <f>SQRT(MAX((($B$5^2+$B$3^2)/(2*$B$5))^2-($B$3-A66)^2,0))-((($B$5^2+$B$3^2)/(2*$B$5))-$B$5)</f>
        <v/>
      </c>
      <c r="C66" s="4">
        <f>MIN($B$5,
$B$5*(1-COS(PI()*A66/(2*$B$3))) +
($B$7*$B$5)*EXP(-0.5*((A66/$B$3-$B$8)/$B$9)^2)
)
</f>
        <v/>
      </c>
    </row>
    <row r="67" ht="15.75" customHeight="1" s="5">
      <c r="A67" s="4">
        <f>$B$3*56/200</f>
        <v/>
      </c>
      <c r="B67" s="4">
        <f>SQRT(MAX((($B$5^2+$B$3^2)/(2*$B$5))^2-($B$3-A67)^2,0))-((($B$5^2+$B$3^2)/(2*$B$5))-$B$5)</f>
        <v/>
      </c>
      <c r="C67" s="4">
        <f>MIN($B$5,
$B$5*(1-COS(PI()*A67/(2*$B$3))) +
($B$7*$B$5)*EXP(-0.5*((A67/$B$3-$B$8)/$B$9)^2)
)
</f>
        <v/>
      </c>
    </row>
    <row r="68" ht="15.75" customHeight="1" s="5">
      <c r="A68" s="4">
        <f>$B$3*57/200</f>
        <v/>
      </c>
      <c r="B68" s="4">
        <f>SQRT(MAX((($B$5^2+$B$3^2)/(2*$B$5))^2-($B$3-A68)^2,0))-((($B$5^2+$B$3^2)/(2*$B$5))-$B$5)</f>
        <v/>
      </c>
      <c r="C68" s="4">
        <f>MIN($B$5,
$B$5*(1-COS(PI()*A68/(2*$B$3))) +
($B$7*$B$5)*EXP(-0.5*((A68/$B$3-$B$8)/$B$9)^2)
)
</f>
        <v/>
      </c>
    </row>
    <row r="69" ht="15.75" customHeight="1" s="5">
      <c r="A69" s="4">
        <f>$B$3*58/200</f>
        <v/>
      </c>
      <c r="B69" s="4">
        <f>SQRT(MAX((($B$5^2+$B$3^2)/(2*$B$5))^2-($B$3-A69)^2,0))-((($B$5^2+$B$3^2)/(2*$B$5))-$B$5)</f>
        <v/>
      </c>
      <c r="C69" s="4">
        <f>MIN($B$5,
$B$5*(1-COS(PI()*A69/(2*$B$3))) +
($B$7*$B$5)*EXP(-0.5*((A69/$B$3-$B$8)/$B$9)^2)
)
</f>
        <v/>
      </c>
    </row>
    <row r="70" ht="15.75" customHeight="1" s="5">
      <c r="A70" s="4">
        <f>$B$3*59/200</f>
        <v/>
      </c>
      <c r="B70" s="4">
        <f>SQRT(MAX((($B$5^2+$B$3^2)/(2*$B$5))^2-($B$3-A70)^2,0))-((($B$5^2+$B$3^2)/(2*$B$5))-$B$5)</f>
        <v/>
      </c>
      <c r="C70" s="4">
        <f>MIN($B$5,
$B$5*(1-COS(PI()*A70/(2*$B$3))) +
($B$7*$B$5)*EXP(-0.5*((A70/$B$3-$B$8)/$B$9)^2)
)
</f>
        <v/>
      </c>
    </row>
    <row r="71" ht="15.75" customHeight="1" s="5">
      <c r="A71" s="4">
        <f>$B$3*60/200</f>
        <v/>
      </c>
      <c r="B71" s="4">
        <f>SQRT(MAX((($B$5^2+$B$3^2)/(2*$B$5))^2-($B$3-A71)^2,0))-((($B$5^2+$B$3^2)/(2*$B$5))-$B$5)</f>
        <v/>
      </c>
      <c r="C71" s="4">
        <f>MIN($B$5,
$B$5*(1-COS(PI()*A71/(2*$B$3))) +
($B$7*$B$5)*EXP(-0.5*((A71/$B$3-$B$8)/$B$9)^2)
)
</f>
        <v/>
      </c>
    </row>
    <row r="72" ht="15.75" customHeight="1" s="5">
      <c r="A72" s="4">
        <f>$B$3*61/200</f>
        <v/>
      </c>
      <c r="B72" s="4">
        <f>SQRT(MAX((($B$5^2+$B$3^2)/(2*$B$5))^2-($B$3-A72)^2,0))-((($B$5^2+$B$3^2)/(2*$B$5))-$B$5)</f>
        <v/>
      </c>
      <c r="C72" s="4">
        <f>MIN($B$5,
$B$5*(1-COS(PI()*A72/(2*$B$3))) +
($B$7*$B$5)*EXP(-0.5*((A72/$B$3-$B$8)/$B$9)^2)
)
</f>
        <v/>
      </c>
    </row>
    <row r="73" ht="15.75" customHeight="1" s="5">
      <c r="A73" s="4">
        <f>$B$3*62/200</f>
        <v/>
      </c>
      <c r="B73" s="4">
        <f>SQRT(MAX((($B$5^2+$B$3^2)/(2*$B$5))^2-($B$3-A73)^2,0))-((($B$5^2+$B$3^2)/(2*$B$5))-$B$5)</f>
        <v/>
      </c>
      <c r="C73" s="4">
        <f>MIN($B$5,
$B$5*(1-COS(PI()*A73/(2*$B$3))) +
($B$7*$B$5)*EXP(-0.5*((A73/$B$3-$B$8)/$B$9)^2)
)
</f>
        <v/>
      </c>
    </row>
    <row r="74" ht="15.75" customHeight="1" s="5">
      <c r="A74" s="4">
        <f>$B$3*63/200</f>
        <v/>
      </c>
      <c r="B74" s="4">
        <f>SQRT(MAX((($B$5^2+$B$3^2)/(2*$B$5))^2-($B$3-A74)^2,0))-((($B$5^2+$B$3^2)/(2*$B$5))-$B$5)</f>
        <v/>
      </c>
      <c r="C74" s="4">
        <f>MIN($B$5,
$B$5*(1-COS(PI()*A74/(2*$B$3))) +
($B$7*$B$5)*EXP(-0.5*((A74/$B$3-$B$8)/$B$9)^2)
)
</f>
        <v/>
      </c>
    </row>
    <row r="75" ht="15.75" customHeight="1" s="5">
      <c r="A75" s="4">
        <f>$B$3*64/200</f>
        <v/>
      </c>
      <c r="B75" s="4">
        <f>SQRT(MAX((($B$5^2+$B$3^2)/(2*$B$5))^2-($B$3-A75)^2,0))-((($B$5^2+$B$3^2)/(2*$B$5))-$B$5)</f>
        <v/>
      </c>
      <c r="C75" s="4">
        <f>MIN($B$5,
$B$5*(1-COS(PI()*A75/(2*$B$3))) +
($B$7*$B$5)*EXP(-0.5*((A75/$B$3-$B$8)/$B$9)^2)
)
</f>
        <v/>
      </c>
    </row>
    <row r="76" ht="15.75" customHeight="1" s="5">
      <c r="A76" s="4">
        <f>$B$3*65/200</f>
        <v/>
      </c>
      <c r="B76" s="4">
        <f>SQRT(MAX((($B$5^2+$B$3^2)/(2*$B$5))^2-($B$3-A76)^2,0))-((($B$5^2+$B$3^2)/(2*$B$5))-$B$5)</f>
        <v/>
      </c>
      <c r="C76" s="4">
        <f>MIN($B$5,
$B$5*(1-COS(PI()*A76/(2*$B$3))) +
($B$7*$B$5)*EXP(-0.5*((A76/$B$3-$B$8)/$B$9)^2)
)
</f>
        <v/>
      </c>
    </row>
    <row r="77" ht="15.75" customHeight="1" s="5">
      <c r="A77" s="4">
        <f>$B$3*66/200</f>
        <v/>
      </c>
      <c r="B77" s="4">
        <f>SQRT(MAX((($B$5^2+$B$3^2)/(2*$B$5))^2-($B$3-A77)^2,0))-((($B$5^2+$B$3^2)/(2*$B$5))-$B$5)</f>
        <v/>
      </c>
      <c r="C77" s="4">
        <f>MIN($B$5,
$B$5*(1-COS(PI()*A77/(2*$B$3))) +
($B$7*$B$5)*EXP(-0.5*((A77/$B$3-$B$8)/$B$9)^2)
)
</f>
        <v/>
      </c>
    </row>
    <row r="78" ht="15.75" customHeight="1" s="5">
      <c r="A78" s="4">
        <f>$B$3*67/200</f>
        <v/>
      </c>
      <c r="B78" s="4">
        <f>SQRT(MAX((($B$5^2+$B$3^2)/(2*$B$5))^2-($B$3-A78)^2,0))-((($B$5^2+$B$3^2)/(2*$B$5))-$B$5)</f>
        <v/>
      </c>
      <c r="C78" s="4">
        <f>MIN($B$5,
$B$5*(1-COS(PI()*A78/(2*$B$3))) +
($B$7*$B$5)*EXP(-0.5*((A78/$B$3-$B$8)/$B$9)^2)
)
</f>
        <v/>
      </c>
    </row>
    <row r="79" ht="15.75" customHeight="1" s="5">
      <c r="A79" s="4">
        <f>$B$3*68/200</f>
        <v/>
      </c>
      <c r="B79" s="4">
        <f>SQRT(MAX((($B$5^2+$B$3^2)/(2*$B$5))^2-($B$3-A79)^2,0))-((($B$5^2+$B$3^2)/(2*$B$5))-$B$5)</f>
        <v/>
      </c>
      <c r="C79" s="4">
        <f>MIN($B$5,
$B$5*(1-COS(PI()*A79/(2*$B$3))) +
($B$7*$B$5)*EXP(-0.5*((A79/$B$3-$B$8)/$B$9)^2)
)
</f>
        <v/>
      </c>
    </row>
    <row r="80" ht="15.75" customHeight="1" s="5">
      <c r="A80" s="4">
        <f>$B$3*69/200</f>
        <v/>
      </c>
      <c r="B80" s="4">
        <f>SQRT(MAX((($B$5^2+$B$3^2)/(2*$B$5))^2-($B$3-A80)^2,0))-((($B$5^2+$B$3^2)/(2*$B$5))-$B$5)</f>
        <v/>
      </c>
      <c r="C80" s="4">
        <f>MIN($B$5,
$B$5*(1-COS(PI()*A80/(2*$B$3))) +
($B$7*$B$5)*EXP(-0.5*((A80/$B$3-$B$8)/$B$9)^2)
)
</f>
        <v/>
      </c>
    </row>
    <row r="81" ht="15.75" customHeight="1" s="5">
      <c r="A81" s="4">
        <f>$B$3*70/200</f>
        <v/>
      </c>
      <c r="B81" s="4">
        <f>SQRT(MAX((($B$5^2+$B$3^2)/(2*$B$5))^2-($B$3-A81)^2,0))-((($B$5^2+$B$3^2)/(2*$B$5))-$B$5)</f>
        <v/>
      </c>
      <c r="C81" s="4">
        <f>MIN($B$5,
$B$5*(1-COS(PI()*A81/(2*$B$3))) +
($B$7*$B$5)*EXP(-0.5*((A81/$B$3-$B$8)/$B$9)^2)
)
</f>
        <v/>
      </c>
    </row>
    <row r="82" ht="15.75" customHeight="1" s="5">
      <c r="A82" s="4">
        <f>$B$3*71/200</f>
        <v/>
      </c>
      <c r="B82" s="4">
        <f>SQRT(MAX((($B$5^2+$B$3^2)/(2*$B$5))^2-($B$3-A82)^2,0))-((($B$5^2+$B$3^2)/(2*$B$5))-$B$5)</f>
        <v/>
      </c>
      <c r="C82" s="4">
        <f>MIN($B$5,
$B$5*(1-COS(PI()*A82/(2*$B$3))) +
($B$7*$B$5)*EXP(-0.5*((A82/$B$3-$B$8)/$B$9)^2)
)
</f>
        <v/>
      </c>
    </row>
    <row r="83" ht="15.75" customHeight="1" s="5">
      <c r="A83" s="4">
        <f>$B$3*72/200</f>
        <v/>
      </c>
      <c r="B83" s="4">
        <f>SQRT(MAX((($B$5^2+$B$3^2)/(2*$B$5))^2-($B$3-A83)^2,0))-((($B$5^2+$B$3^2)/(2*$B$5))-$B$5)</f>
        <v/>
      </c>
      <c r="C83" s="4">
        <f>MIN($B$5,
$B$5*(1-COS(PI()*A83/(2*$B$3))) +
($B$7*$B$5)*EXP(-0.5*((A83/$B$3-$B$8)/$B$9)^2)
)
</f>
        <v/>
      </c>
    </row>
    <row r="84" ht="15.75" customHeight="1" s="5">
      <c r="A84" s="4">
        <f>$B$3*73/200</f>
        <v/>
      </c>
      <c r="B84" s="4">
        <f>SQRT(MAX((($B$5^2+$B$3^2)/(2*$B$5))^2-($B$3-A84)^2,0))-((($B$5^2+$B$3^2)/(2*$B$5))-$B$5)</f>
        <v/>
      </c>
      <c r="C84" s="4">
        <f>MIN($B$5,
$B$5*(1-COS(PI()*A84/(2*$B$3))) +
($B$7*$B$5)*EXP(-0.5*((A84/$B$3-$B$8)/$B$9)^2)
)
</f>
        <v/>
      </c>
    </row>
    <row r="85" ht="15.75" customHeight="1" s="5">
      <c r="A85" s="4">
        <f>$B$3*74/200</f>
        <v/>
      </c>
      <c r="B85" s="4">
        <f>SQRT(MAX((($B$5^2+$B$3^2)/(2*$B$5))^2-($B$3-A85)^2,0))-((($B$5^2+$B$3^2)/(2*$B$5))-$B$5)</f>
        <v/>
      </c>
      <c r="C85" s="4">
        <f>MIN($B$5,
$B$5*(1-COS(PI()*A85/(2*$B$3))) +
($B$7*$B$5)*EXP(-0.5*((A85/$B$3-$B$8)/$B$9)^2)
)
</f>
        <v/>
      </c>
    </row>
    <row r="86" ht="15.75" customHeight="1" s="5">
      <c r="A86" s="4">
        <f>$B$3*75/200</f>
        <v/>
      </c>
      <c r="B86" s="4">
        <f>SQRT(MAX((($B$5^2+$B$3^2)/(2*$B$5))^2-($B$3-A86)^2,0))-((($B$5^2+$B$3^2)/(2*$B$5))-$B$5)</f>
        <v/>
      </c>
      <c r="C86" s="4">
        <f>MIN($B$5,
$B$5*(1-COS(PI()*A86/(2*$B$3))) +
($B$7*$B$5)*EXP(-0.5*((A86/$B$3-$B$8)/$B$9)^2)
)
</f>
        <v/>
      </c>
    </row>
    <row r="87" ht="15.75" customHeight="1" s="5">
      <c r="A87" s="4">
        <f>$B$3*76/200</f>
        <v/>
      </c>
      <c r="B87" s="4">
        <f>SQRT(MAX((($B$5^2+$B$3^2)/(2*$B$5))^2-($B$3-A87)^2,0))-((($B$5^2+$B$3^2)/(2*$B$5))-$B$5)</f>
        <v/>
      </c>
      <c r="C87" s="4">
        <f>MIN($B$5,
$B$5*(1-COS(PI()*A87/(2*$B$3))) +
($B$7*$B$5)*EXP(-0.5*((A87/$B$3-$B$8)/$B$9)^2)
)
</f>
        <v/>
      </c>
    </row>
    <row r="88" ht="15.75" customHeight="1" s="5">
      <c r="A88" s="4">
        <f>$B$3*77/200</f>
        <v/>
      </c>
      <c r="B88" s="4">
        <f>SQRT(MAX((($B$5^2+$B$3^2)/(2*$B$5))^2-($B$3-A88)^2,0))-((($B$5^2+$B$3^2)/(2*$B$5))-$B$5)</f>
        <v/>
      </c>
      <c r="C88" s="4">
        <f>MIN($B$5,
$B$5*(1-COS(PI()*A88/(2*$B$3))) +
($B$7*$B$5)*EXP(-0.5*((A88/$B$3-$B$8)/$B$9)^2)
)
</f>
        <v/>
      </c>
    </row>
    <row r="89" ht="15.75" customHeight="1" s="5">
      <c r="A89" s="4">
        <f>$B$3*78/200</f>
        <v/>
      </c>
      <c r="B89" s="4">
        <f>SQRT(MAX((($B$5^2+$B$3^2)/(2*$B$5))^2-($B$3-A89)^2,0))-((($B$5^2+$B$3^2)/(2*$B$5))-$B$5)</f>
        <v/>
      </c>
      <c r="C89" s="4">
        <f>MIN($B$5,
$B$5*(1-COS(PI()*A89/(2*$B$3))) +
($B$7*$B$5)*EXP(-0.5*((A89/$B$3-$B$8)/$B$9)^2)
)
</f>
        <v/>
      </c>
    </row>
    <row r="90" ht="15.75" customHeight="1" s="5">
      <c r="A90" s="4">
        <f>$B$3*79/200</f>
        <v/>
      </c>
      <c r="B90" s="4">
        <f>SQRT(MAX((($B$5^2+$B$3^2)/(2*$B$5))^2-($B$3-A90)^2,0))-((($B$5^2+$B$3^2)/(2*$B$5))-$B$5)</f>
        <v/>
      </c>
      <c r="C90" s="4">
        <f>MIN($B$5,
$B$5*(1-COS(PI()*A90/(2*$B$3))) +
($B$7*$B$5)*EXP(-0.5*((A90/$B$3-$B$8)/$B$9)^2)
)
</f>
        <v/>
      </c>
    </row>
    <row r="91" ht="15.75" customHeight="1" s="5">
      <c r="A91" s="4">
        <f>$B$3*80/200</f>
        <v/>
      </c>
      <c r="B91" s="4">
        <f>SQRT(MAX((($B$5^2+$B$3^2)/(2*$B$5))^2-($B$3-A91)^2,0))-((($B$5^2+$B$3^2)/(2*$B$5))-$B$5)</f>
        <v/>
      </c>
      <c r="C91" s="4">
        <f>MIN($B$5,
$B$5*(1-COS(PI()*A91/(2*$B$3))) +
($B$7*$B$5)*EXP(-0.5*((A91/$B$3-$B$8)/$B$9)^2)
)
</f>
        <v/>
      </c>
    </row>
    <row r="92" ht="15.75" customHeight="1" s="5">
      <c r="A92" s="4">
        <f>$B$3*81/200</f>
        <v/>
      </c>
      <c r="B92" s="4">
        <f>SQRT(MAX((($B$5^2+$B$3^2)/(2*$B$5))^2-($B$3-A92)^2,0))-((($B$5^2+$B$3^2)/(2*$B$5))-$B$5)</f>
        <v/>
      </c>
      <c r="C92" s="4">
        <f>MIN($B$5,
$B$5*(1-COS(PI()*A92/(2*$B$3))) +
($B$7*$B$5)*EXP(-0.5*((A92/$B$3-$B$8)/$B$9)^2)
)
</f>
        <v/>
      </c>
    </row>
    <row r="93" ht="15.75" customHeight="1" s="5">
      <c r="A93" s="4">
        <f>$B$3*82/200</f>
        <v/>
      </c>
      <c r="B93" s="4">
        <f>SQRT(MAX((($B$5^2+$B$3^2)/(2*$B$5))^2-($B$3-A93)^2,0))-((($B$5^2+$B$3^2)/(2*$B$5))-$B$5)</f>
        <v/>
      </c>
      <c r="C93" s="4">
        <f>MIN($B$5,
$B$5*(1-COS(PI()*A93/(2*$B$3))) +
($B$7*$B$5)*EXP(-0.5*((A93/$B$3-$B$8)/$B$9)^2)
)
</f>
        <v/>
      </c>
    </row>
    <row r="94" ht="15.75" customHeight="1" s="5">
      <c r="A94" s="4">
        <f>$B$3*83/200</f>
        <v/>
      </c>
      <c r="B94" s="4">
        <f>SQRT(MAX((($B$5^2+$B$3^2)/(2*$B$5))^2-($B$3-A94)^2,0))-((($B$5^2+$B$3^2)/(2*$B$5))-$B$5)</f>
        <v/>
      </c>
      <c r="C94" s="4">
        <f>MIN($B$5,
$B$5*(1-COS(PI()*A94/(2*$B$3))) +
($B$7*$B$5)*EXP(-0.5*((A94/$B$3-$B$8)/$B$9)^2)
)
</f>
        <v/>
      </c>
    </row>
    <row r="95" ht="15.75" customHeight="1" s="5">
      <c r="A95" s="4">
        <f>$B$3*84/200</f>
        <v/>
      </c>
      <c r="B95" s="4">
        <f>SQRT(MAX((($B$5^2+$B$3^2)/(2*$B$5))^2-($B$3-A95)^2,0))-((($B$5^2+$B$3^2)/(2*$B$5))-$B$5)</f>
        <v/>
      </c>
      <c r="C95" s="4">
        <f>MIN($B$5,
$B$5*(1-COS(PI()*A95/(2*$B$3))) +
($B$7*$B$5)*EXP(-0.5*((A95/$B$3-$B$8)/$B$9)^2)
)
</f>
        <v/>
      </c>
    </row>
    <row r="96" ht="15.75" customHeight="1" s="5">
      <c r="A96" s="4">
        <f>$B$3*85/200</f>
        <v/>
      </c>
      <c r="B96" s="4">
        <f>SQRT(MAX((($B$5^2+$B$3^2)/(2*$B$5))^2-($B$3-A96)^2,0))-((($B$5^2+$B$3^2)/(2*$B$5))-$B$5)</f>
        <v/>
      </c>
      <c r="C96" s="4">
        <f>MIN($B$5,
$B$5*(1-COS(PI()*A96/(2*$B$3))) +
($B$7*$B$5)*EXP(-0.5*((A96/$B$3-$B$8)/$B$9)^2)
)
</f>
        <v/>
      </c>
    </row>
    <row r="97" ht="15.75" customHeight="1" s="5">
      <c r="A97" s="4">
        <f>$B$3*86/200</f>
        <v/>
      </c>
      <c r="B97" s="4">
        <f>SQRT(MAX((($B$5^2+$B$3^2)/(2*$B$5))^2-($B$3-A97)^2,0))-((($B$5^2+$B$3^2)/(2*$B$5))-$B$5)</f>
        <v/>
      </c>
      <c r="C97" s="4">
        <f>MIN($B$5,
$B$5*(1-COS(PI()*A97/(2*$B$3))) +
($B$7*$B$5)*EXP(-0.5*((A97/$B$3-$B$8)/$B$9)^2)
)
</f>
        <v/>
      </c>
    </row>
    <row r="98" ht="15.75" customHeight="1" s="5">
      <c r="A98" s="4">
        <f>$B$3*87/200</f>
        <v/>
      </c>
      <c r="B98" s="4">
        <f>SQRT(MAX((($B$5^2+$B$3^2)/(2*$B$5))^2-($B$3-A98)^2,0))-((($B$5^2+$B$3^2)/(2*$B$5))-$B$5)</f>
        <v/>
      </c>
      <c r="C98" s="4">
        <f>MIN($B$5,
$B$5*(1-COS(PI()*A98/(2*$B$3))) +
($B$7*$B$5)*EXP(-0.5*((A98/$B$3-$B$8)/$B$9)^2)
)
</f>
        <v/>
      </c>
    </row>
    <row r="99" ht="15.75" customHeight="1" s="5">
      <c r="A99" s="4">
        <f>$B$3*88/200</f>
        <v/>
      </c>
      <c r="B99" s="4">
        <f>SQRT(MAX((($B$5^2+$B$3^2)/(2*$B$5))^2-($B$3-A99)^2,0))-((($B$5^2+$B$3^2)/(2*$B$5))-$B$5)</f>
        <v/>
      </c>
      <c r="C99" s="4">
        <f>MIN($B$5,
$B$5*(1-COS(PI()*A99/(2*$B$3))) +
($B$7*$B$5)*EXP(-0.5*((A99/$B$3-$B$8)/$B$9)^2)
)
</f>
        <v/>
      </c>
    </row>
    <row r="100" ht="15.75" customHeight="1" s="5">
      <c r="A100" s="4">
        <f>$B$3*89/200</f>
        <v/>
      </c>
      <c r="B100" s="4">
        <f>SQRT(MAX((($B$5^2+$B$3^2)/(2*$B$5))^2-($B$3-A100)^2,0))-((($B$5^2+$B$3^2)/(2*$B$5))-$B$5)</f>
        <v/>
      </c>
      <c r="C100" s="4">
        <f>MIN($B$5,
$B$5*(1-COS(PI()*A100/(2*$B$3))) +
($B$7*$B$5)*EXP(-0.5*((A100/$B$3-$B$8)/$B$9)^2)
)
</f>
        <v/>
      </c>
    </row>
    <row r="101" ht="15.75" customHeight="1" s="5">
      <c r="A101" s="4">
        <f>$B$3*90/200</f>
        <v/>
      </c>
      <c r="B101" s="4">
        <f>SQRT(MAX((($B$5^2+$B$3^2)/(2*$B$5))^2-($B$3-A101)^2,0))-((($B$5^2+$B$3^2)/(2*$B$5))-$B$5)</f>
        <v/>
      </c>
      <c r="C101" s="4">
        <f>MIN($B$5,
$B$5*(1-COS(PI()*A101/(2*$B$3))) +
($B$7*$B$5)*EXP(-0.5*((A101/$B$3-$B$8)/$B$9)^2)
)
</f>
        <v/>
      </c>
    </row>
    <row r="102" ht="15.75" customHeight="1" s="5">
      <c r="A102" s="4">
        <f>$B$3*91/200</f>
        <v/>
      </c>
      <c r="B102" s="4">
        <f>SQRT(MAX((($B$5^2+$B$3^2)/(2*$B$5))^2-($B$3-A102)^2,0))-((($B$5^2+$B$3^2)/(2*$B$5))-$B$5)</f>
        <v/>
      </c>
      <c r="C102" s="4">
        <f>MIN($B$5,
$B$5*(1-COS(PI()*A102/(2*$B$3))) +
($B$7*$B$5)*EXP(-0.5*((A102/$B$3-$B$8)/$B$9)^2)
)
</f>
        <v/>
      </c>
    </row>
    <row r="103" ht="15.75" customHeight="1" s="5">
      <c r="A103" s="4">
        <f>$B$3*92/200</f>
        <v/>
      </c>
      <c r="B103" s="4">
        <f>SQRT(MAX((($B$5^2+$B$3^2)/(2*$B$5))^2-($B$3-A103)^2,0))-((($B$5^2+$B$3^2)/(2*$B$5))-$B$5)</f>
        <v/>
      </c>
      <c r="C103" s="4">
        <f>MIN($B$5,
$B$5*(1-COS(PI()*A103/(2*$B$3))) +
($B$7*$B$5)*EXP(-0.5*((A103/$B$3-$B$8)/$B$9)^2)
)
</f>
        <v/>
      </c>
    </row>
    <row r="104" ht="15.75" customHeight="1" s="5">
      <c r="A104" s="4">
        <f>$B$3*93/200</f>
        <v/>
      </c>
      <c r="B104" s="4">
        <f>SQRT(MAX((($B$5^2+$B$3^2)/(2*$B$5))^2-($B$3-A104)^2,0))-((($B$5^2+$B$3^2)/(2*$B$5))-$B$5)</f>
        <v/>
      </c>
      <c r="C104" s="4">
        <f>MIN($B$5,
$B$5*(1-COS(PI()*A104/(2*$B$3))) +
($B$7*$B$5)*EXP(-0.5*((A104/$B$3-$B$8)/$B$9)^2)
)
</f>
        <v/>
      </c>
    </row>
    <row r="105" ht="15.75" customHeight="1" s="5">
      <c r="A105" s="4">
        <f>$B$3*94/200</f>
        <v/>
      </c>
      <c r="B105" s="4">
        <f>SQRT(MAX((($B$5^2+$B$3^2)/(2*$B$5))^2-($B$3-A105)^2,0))-((($B$5^2+$B$3^2)/(2*$B$5))-$B$5)</f>
        <v/>
      </c>
      <c r="C105" s="4">
        <f>MIN($B$5,
$B$5*(1-COS(PI()*A105/(2*$B$3))) +
($B$7*$B$5)*EXP(-0.5*((A105/$B$3-$B$8)/$B$9)^2)
)
</f>
        <v/>
      </c>
    </row>
    <row r="106" ht="15.75" customHeight="1" s="5">
      <c r="A106" s="4">
        <f>$B$3*95/200</f>
        <v/>
      </c>
      <c r="B106" s="4">
        <f>SQRT(MAX((($B$5^2+$B$3^2)/(2*$B$5))^2-($B$3-A106)^2,0))-((($B$5^2+$B$3^2)/(2*$B$5))-$B$5)</f>
        <v/>
      </c>
      <c r="C106" s="4">
        <f>MIN($B$5,
$B$5*(1-COS(PI()*A106/(2*$B$3))) +
($B$7*$B$5)*EXP(-0.5*((A106/$B$3-$B$8)/$B$9)^2)
)
</f>
        <v/>
      </c>
    </row>
    <row r="107" ht="15.75" customHeight="1" s="5">
      <c r="A107" s="4">
        <f>$B$3*96/200</f>
        <v/>
      </c>
      <c r="B107" s="4">
        <f>SQRT(MAX((($B$5^2+$B$3^2)/(2*$B$5))^2-($B$3-A107)^2,0))-((($B$5^2+$B$3^2)/(2*$B$5))-$B$5)</f>
        <v/>
      </c>
      <c r="C107" s="4">
        <f>MIN($B$5,
$B$5*(1-COS(PI()*A107/(2*$B$3))) +
($B$7*$B$5)*EXP(-0.5*((A107/$B$3-$B$8)/$B$9)^2)
)
</f>
        <v/>
      </c>
    </row>
    <row r="108" ht="15.75" customHeight="1" s="5">
      <c r="A108" s="4">
        <f>$B$3*97/200</f>
        <v/>
      </c>
      <c r="B108" s="4">
        <f>SQRT(MAX((($B$5^2+$B$3^2)/(2*$B$5))^2-($B$3-A108)^2,0))-((($B$5^2+$B$3^2)/(2*$B$5))-$B$5)</f>
        <v/>
      </c>
      <c r="C108" s="4">
        <f>MIN($B$5,
$B$5*(1-COS(PI()*A108/(2*$B$3))) +
($B$7*$B$5)*EXP(-0.5*((A108/$B$3-$B$8)/$B$9)^2)
)
</f>
        <v/>
      </c>
    </row>
    <row r="109" ht="15.75" customHeight="1" s="5">
      <c r="A109" s="4">
        <f>$B$3*98/200</f>
        <v/>
      </c>
      <c r="B109" s="4">
        <f>SQRT(MAX((($B$5^2+$B$3^2)/(2*$B$5))^2-($B$3-A109)^2,0))-((($B$5^2+$B$3^2)/(2*$B$5))-$B$5)</f>
        <v/>
      </c>
      <c r="C109" s="4">
        <f>MIN($B$5,
$B$5*(1-COS(PI()*A109/(2*$B$3))) +
($B$7*$B$5)*EXP(-0.5*((A109/$B$3-$B$8)/$B$9)^2)
)
</f>
        <v/>
      </c>
    </row>
    <row r="110" ht="15.75" customHeight="1" s="5">
      <c r="A110" s="4">
        <f>$B$3*99/200</f>
        <v/>
      </c>
      <c r="B110" s="4">
        <f>SQRT(MAX((($B$5^2+$B$3^2)/(2*$B$5))^2-($B$3-A110)^2,0))-((($B$5^2+$B$3^2)/(2*$B$5))-$B$5)</f>
        <v/>
      </c>
      <c r="C110" s="4">
        <f>MIN($B$5,
$B$5*(1-COS(PI()*A110/(2*$B$3))) +
($B$7*$B$5)*EXP(-0.5*((A110/$B$3-$B$8)/$B$9)^2)
)
</f>
        <v/>
      </c>
    </row>
    <row r="111" ht="15.75" customHeight="1" s="5">
      <c r="A111" s="4">
        <f>$B$3*100/200</f>
        <v/>
      </c>
      <c r="B111" s="4">
        <f>SQRT(MAX((($B$5^2+$B$3^2)/(2*$B$5))^2-($B$3-A111)^2,0))-((($B$5^2+$B$3^2)/(2*$B$5))-$B$5)</f>
        <v/>
      </c>
      <c r="C111" s="4">
        <f>MIN($B$5,
$B$5*(1-COS(PI()*A111/(2*$B$3))) +
($B$7*$B$5)*EXP(-0.5*((A111/$B$3-$B$8)/$B$9)^2)
)
</f>
        <v/>
      </c>
    </row>
    <row r="112" ht="15.75" customHeight="1" s="5">
      <c r="A112" s="4">
        <f>$B$3*101/200</f>
        <v/>
      </c>
      <c r="B112" s="4">
        <f>SQRT(MAX((($B$5^2+$B$3^2)/(2*$B$5))^2-($B$3-A112)^2,0))-((($B$5^2+$B$3^2)/(2*$B$5))-$B$5)</f>
        <v/>
      </c>
      <c r="C112" s="4">
        <f>MIN($B$5,
$B$5*(1-COS(PI()*A112/(2*$B$3))) +
($B$7*$B$5)*EXP(-0.5*((A112/$B$3-$B$8)/$B$9)^2)
)
</f>
        <v/>
      </c>
    </row>
    <row r="113" ht="15.75" customHeight="1" s="5">
      <c r="A113" s="4">
        <f>$B$3*102/200</f>
        <v/>
      </c>
      <c r="B113" s="4">
        <f>SQRT(MAX((($B$5^2+$B$3^2)/(2*$B$5))^2-($B$3-A113)^2,0))-((($B$5^2+$B$3^2)/(2*$B$5))-$B$5)</f>
        <v/>
      </c>
      <c r="C113" s="4">
        <f>MIN($B$5,
$B$5*(1-COS(PI()*A113/(2*$B$3))) +
($B$7*$B$5)*EXP(-0.5*((A113/$B$3-$B$8)/$B$9)^2)
)
</f>
        <v/>
      </c>
    </row>
    <row r="114" ht="15.75" customHeight="1" s="5">
      <c r="A114" s="4">
        <f>$B$3*103/200</f>
        <v/>
      </c>
      <c r="B114" s="4">
        <f>SQRT(MAX((($B$5^2+$B$3^2)/(2*$B$5))^2-($B$3-A114)^2,0))-((($B$5^2+$B$3^2)/(2*$B$5))-$B$5)</f>
        <v/>
      </c>
      <c r="C114" s="4">
        <f>MIN($B$5,
$B$5*(1-COS(PI()*A114/(2*$B$3))) +
($B$7*$B$5)*EXP(-0.5*((A114/$B$3-$B$8)/$B$9)^2)
)
</f>
        <v/>
      </c>
    </row>
    <row r="115" ht="15.75" customHeight="1" s="5">
      <c r="A115" s="4">
        <f>$B$3*104/200</f>
        <v/>
      </c>
      <c r="B115" s="4">
        <f>SQRT(MAX((($B$5^2+$B$3^2)/(2*$B$5))^2-($B$3-A115)^2,0))-((($B$5^2+$B$3^2)/(2*$B$5))-$B$5)</f>
        <v/>
      </c>
      <c r="C115" s="4">
        <f>MIN($B$5,
$B$5*(1-COS(PI()*A115/(2*$B$3))) +
($B$7*$B$5)*EXP(-0.5*((A115/$B$3-$B$8)/$B$9)^2)
)
</f>
        <v/>
      </c>
    </row>
    <row r="116" ht="15.75" customHeight="1" s="5">
      <c r="A116" s="4">
        <f>$B$3*105/200</f>
        <v/>
      </c>
      <c r="B116" s="4">
        <f>SQRT(MAX((($B$5^2+$B$3^2)/(2*$B$5))^2-($B$3-A116)^2,0))-((($B$5^2+$B$3^2)/(2*$B$5))-$B$5)</f>
        <v/>
      </c>
      <c r="C116" s="4">
        <f>MIN($B$5,
$B$5*(1-COS(PI()*A116/(2*$B$3))) +
($B$7*$B$5)*EXP(-0.5*((A116/$B$3-$B$8)/$B$9)^2)
)
</f>
        <v/>
      </c>
    </row>
    <row r="117" ht="15.75" customHeight="1" s="5">
      <c r="A117" s="4">
        <f>$B$3*106/200</f>
        <v/>
      </c>
      <c r="B117" s="4">
        <f>SQRT(MAX((($B$5^2+$B$3^2)/(2*$B$5))^2-($B$3-A117)^2,0))-((($B$5^2+$B$3^2)/(2*$B$5))-$B$5)</f>
        <v/>
      </c>
      <c r="C117" s="4">
        <f>MIN($B$5,
$B$5*(1-COS(PI()*A117/(2*$B$3))) +
($B$7*$B$5)*EXP(-0.5*((A117/$B$3-$B$8)/$B$9)^2)
)
</f>
        <v/>
      </c>
    </row>
    <row r="118" ht="15.75" customHeight="1" s="5">
      <c r="A118" s="4">
        <f>$B$3*107/200</f>
        <v/>
      </c>
      <c r="B118" s="4">
        <f>SQRT(MAX((($B$5^2+$B$3^2)/(2*$B$5))^2-($B$3-A118)^2,0))-((($B$5^2+$B$3^2)/(2*$B$5))-$B$5)</f>
        <v/>
      </c>
      <c r="C118" s="4">
        <f>MIN($B$5,
$B$5*(1-COS(PI()*A118/(2*$B$3))) +
($B$7*$B$5)*EXP(-0.5*((A118/$B$3-$B$8)/$B$9)^2)
)
</f>
        <v/>
      </c>
    </row>
    <row r="119" ht="15.75" customHeight="1" s="5">
      <c r="A119" s="4">
        <f>$B$3*108/200</f>
        <v/>
      </c>
      <c r="B119" s="4">
        <f>SQRT(MAX((($B$5^2+$B$3^2)/(2*$B$5))^2-($B$3-A119)^2,0))-((($B$5^2+$B$3^2)/(2*$B$5))-$B$5)</f>
        <v/>
      </c>
      <c r="C119" s="4">
        <f>MIN($B$5,
$B$5*(1-COS(PI()*A119/(2*$B$3))) +
($B$7*$B$5)*EXP(-0.5*((A119/$B$3-$B$8)/$B$9)^2)
)
</f>
        <v/>
      </c>
    </row>
    <row r="120" ht="15.75" customHeight="1" s="5">
      <c r="A120" s="4">
        <f>$B$3*109/200</f>
        <v/>
      </c>
      <c r="B120" s="4">
        <f>SQRT(MAX((($B$5^2+$B$3^2)/(2*$B$5))^2-($B$3-A120)^2,0))-((($B$5^2+$B$3^2)/(2*$B$5))-$B$5)</f>
        <v/>
      </c>
      <c r="C120" s="4">
        <f>MIN($B$5,
$B$5*(1-COS(PI()*A120/(2*$B$3))) +
($B$7*$B$5)*EXP(-0.5*((A120/$B$3-$B$8)/$B$9)^2)
)
</f>
        <v/>
      </c>
    </row>
    <row r="121" ht="15.75" customHeight="1" s="5">
      <c r="A121" s="4">
        <f>$B$3*110/200</f>
        <v/>
      </c>
      <c r="B121" s="4">
        <f>SQRT(MAX((($B$5^2+$B$3^2)/(2*$B$5))^2-($B$3-A121)^2,0))-((($B$5^2+$B$3^2)/(2*$B$5))-$B$5)</f>
        <v/>
      </c>
      <c r="C121" s="4">
        <f>MIN($B$5,
$B$5*(1-COS(PI()*A121/(2*$B$3))) +
($B$7*$B$5)*EXP(-0.5*((A121/$B$3-$B$8)/$B$9)^2)
)
</f>
        <v/>
      </c>
    </row>
    <row r="122" ht="15.75" customHeight="1" s="5">
      <c r="A122" s="4">
        <f>$B$3*111/200</f>
        <v/>
      </c>
      <c r="B122" s="4">
        <f>SQRT(MAX((($B$5^2+$B$3^2)/(2*$B$5))^2-($B$3-A122)^2,0))-((($B$5^2+$B$3^2)/(2*$B$5))-$B$5)</f>
        <v/>
      </c>
      <c r="C122" s="4">
        <f>MIN($B$5,
$B$5*(1-COS(PI()*A122/(2*$B$3))) +
($B$7*$B$5)*EXP(-0.5*((A122/$B$3-$B$8)/$B$9)^2)
)
</f>
        <v/>
      </c>
    </row>
    <row r="123" ht="15.75" customHeight="1" s="5">
      <c r="A123" s="4">
        <f>$B$3*112/200</f>
        <v/>
      </c>
      <c r="B123" s="4">
        <f>SQRT(MAX((($B$5^2+$B$3^2)/(2*$B$5))^2-($B$3-A123)^2,0))-((($B$5^2+$B$3^2)/(2*$B$5))-$B$5)</f>
        <v/>
      </c>
      <c r="C123" s="4">
        <f>MIN($B$5,
$B$5*(1-COS(PI()*A123/(2*$B$3))) +
($B$7*$B$5)*EXP(-0.5*((A123/$B$3-$B$8)/$B$9)^2)
)
</f>
        <v/>
      </c>
    </row>
    <row r="124" ht="15.75" customHeight="1" s="5">
      <c r="A124" s="4">
        <f>$B$3*113/200</f>
        <v/>
      </c>
      <c r="B124" s="4">
        <f>SQRT(MAX((($B$5^2+$B$3^2)/(2*$B$5))^2-($B$3-A124)^2,0))-((($B$5^2+$B$3^2)/(2*$B$5))-$B$5)</f>
        <v/>
      </c>
      <c r="C124" s="4">
        <f>MIN($B$5,
$B$5*(1-COS(PI()*A124/(2*$B$3))) +
($B$7*$B$5)*EXP(-0.5*((A124/$B$3-$B$8)/$B$9)^2)
)
</f>
        <v/>
      </c>
    </row>
    <row r="125" ht="15.75" customHeight="1" s="5">
      <c r="A125" s="4">
        <f>$B$3*114/200</f>
        <v/>
      </c>
      <c r="B125" s="4">
        <f>SQRT(MAX((($B$5^2+$B$3^2)/(2*$B$5))^2-($B$3-A125)^2,0))-((($B$5^2+$B$3^2)/(2*$B$5))-$B$5)</f>
        <v/>
      </c>
      <c r="C125" s="4">
        <f>MIN($B$5,
$B$5*(1-COS(PI()*A125/(2*$B$3))) +
($B$7*$B$5)*EXP(-0.5*((A125/$B$3-$B$8)/$B$9)^2)
)
</f>
        <v/>
      </c>
    </row>
    <row r="126" ht="15.75" customHeight="1" s="5">
      <c r="A126" s="4">
        <f>$B$3*115/200</f>
        <v/>
      </c>
      <c r="B126" s="4">
        <f>SQRT(MAX((($B$5^2+$B$3^2)/(2*$B$5))^2-($B$3-A126)^2,0))-((($B$5^2+$B$3^2)/(2*$B$5))-$B$5)</f>
        <v/>
      </c>
      <c r="C126" s="4">
        <f>MIN($B$5,
$B$5*(1-COS(PI()*A126/(2*$B$3))) +
($B$7*$B$5)*EXP(-0.5*((A126/$B$3-$B$8)/$B$9)^2)
)
</f>
        <v/>
      </c>
    </row>
    <row r="127" ht="15.75" customHeight="1" s="5">
      <c r="A127" s="4">
        <f>$B$3*116/200</f>
        <v/>
      </c>
      <c r="B127" s="4">
        <f>SQRT(MAX((($B$5^2+$B$3^2)/(2*$B$5))^2-($B$3-A127)^2,0))-((($B$5^2+$B$3^2)/(2*$B$5))-$B$5)</f>
        <v/>
      </c>
      <c r="C127" s="4">
        <f>MIN($B$5,
$B$5*(1-COS(PI()*A127/(2*$B$3))) +
($B$7*$B$5)*EXP(-0.5*((A127/$B$3-$B$8)/$B$9)^2)
)
</f>
        <v/>
      </c>
    </row>
    <row r="128" ht="15.75" customHeight="1" s="5">
      <c r="A128" s="4">
        <f>$B$3*117/200</f>
        <v/>
      </c>
      <c r="B128" s="4">
        <f>SQRT(MAX((($B$5^2+$B$3^2)/(2*$B$5))^2-($B$3-A128)^2,0))-((($B$5^2+$B$3^2)/(2*$B$5))-$B$5)</f>
        <v/>
      </c>
      <c r="C128" s="4">
        <f>MIN($B$5,
$B$5*(1-COS(PI()*A128/(2*$B$3))) +
($B$7*$B$5)*EXP(-0.5*((A128/$B$3-$B$8)/$B$9)^2)
)
</f>
        <v/>
      </c>
    </row>
    <row r="129" ht="15.75" customHeight="1" s="5">
      <c r="A129" s="4">
        <f>$B$3*118/200</f>
        <v/>
      </c>
      <c r="B129" s="4">
        <f>SQRT(MAX((($B$5^2+$B$3^2)/(2*$B$5))^2-($B$3-A129)^2,0))-((($B$5^2+$B$3^2)/(2*$B$5))-$B$5)</f>
        <v/>
      </c>
      <c r="C129" s="4">
        <f>MIN($B$5,
$B$5*(1-COS(PI()*A129/(2*$B$3))) +
($B$7*$B$5)*EXP(-0.5*((A129/$B$3-$B$8)/$B$9)^2)
)
</f>
        <v/>
      </c>
    </row>
    <row r="130" ht="15.75" customHeight="1" s="5">
      <c r="A130" s="4">
        <f>$B$3*119/200</f>
        <v/>
      </c>
      <c r="B130" s="4">
        <f>SQRT(MAX((($B$5^2+$B$3^2)/(2*$B$5))^2-($B$3-A130)^2,0))-((($B$5^2+$B$3^2)/(2*$B$5))-$B$5)</f>
        <v/>
      </c>
      <c r="C130" s="4">
        <f>MIN($B$5,
$B$5*(1-COS(PI()*A130/(2*$B$3))) +
($B$7*$B$5)*EXP(-0.5*((A130/$B$3-$B$8)/$B$9)^2)
)
</f>
        <v/>
      </c>
    </row>
    <row r="131" ht="15.75" customHeight="1" s="5">
      <c r="A131" s="4">
        <f>$B$3*120/200</f>
        <v/>
      </c>
      <c r="B131" s="4">
        <f>SQRT(MAX((($B$5^2+$B$3^2)/(2*$B$5))^2-($B$3-A131)^2,0))-((($B$5^2+$B$3^2)/(2*$B$5))-$B$5)</f>
        <v/>
      </c>
      <c r="C131" s="4">
        <f>MIN($B$5,
$B$5*(1-COS(PI()*A131/(2*$B$3))) +
($B$7*$B$5)*EXP(-0.5*((A131/$B$3-$B$8)/$B$9)^2)
)
</f>
        <v/>
      </c>
    </row>
    <row r="132" ht="15.75" customHeight="1" s="5">
      <c r="A132" s="4">
        <f>$B$3*121/200</f>
        <v/>
      </c>
      <c r="B132" s="4">
        <f>SQRT(MAX((($B$5^2+$B$3^2)/(2*$B$5))^2-($B$3-A132)^2,0))-((($B$5^2+$B$3^2)/(2*$B$5))-$B$5)</f>
        <v/>
      </c>
      <c r="C132" s="4">
        <f>MIN($B$5,
$B$5*(1-COS(PI()*A132/(2*$B$3))) +
($B$7*$B$5)*EXP(-0.5*((A132/$B$3-$B$8)/$B$9)^2)
)
</f>
        <v/>
      </c>
    </row>
    <row r="133" ht="15.75" customHeight="1" s="5">
      <c r="A133" s="4">
        <f>$B$3*122/200</f>
        <v/>
      </c>
      <c r="B133" s="4">
        <f>SQRT(MAX((($B$5^2+$B$3^2)/(2*$B$5))^2-($B$3-A133)^2,0))-((($B$5^2+$B$3^2)/(2*$B$5))-$B$5)</f>
        <v/>
      </c>
      <c r="C133" s="4">
        <f>MIN($B$5,
$B$5*(1-COS(PI()*A133/(2*$B$3))) +
($B$7*$B$5)*EXP(-0.5*((A133/$B$3-$B$8)/$B$9)^2)
)
</f>
        <v/>
      </c>
    </row>
    <row r="134" ht="15.75" customHeight="1" s="5">
      <c r="A134" s="4">
        <f>$B$3*123/200</f>
        <v/>
      </c>
      <c r="B134" s="4">
        <f>SQRT(MAX((($B$5^2+$B$3^2)/(2*$B$5))^2-($B$3-A134)^2,0))-((($B$5^2+$B$3^2)/(2*$B$5))-$B$5)</f>
        <v/>
      </c>
      <c r="C134" s="4">
        <f>MIN($B$5,
$B$5*(1-COS(PI()*A134/(2*$B$3))) +
($B$7*$B$5)*EXP(-0.5*((A134/$B$3-$B$8)/$B$9)^2)
)
</f>
        <v/>
      </c>
    </row>
    <row r="135" ht="15.75" customHeight="1" s="5">
      <c r="A135" s="4">
        <f>$B$3*124/200</f>
        <v/>
      </c>
      <c r="B135" s="4">
        <f>SQRT(MAX((($B$5^2+$B$3^2)/(2*$B$5))^2-($B$3-A135)^2,0))-((($B$5^2+$B$3^2)/(2*$B$5))-$B$5)</f>
        <v/>
      </c>
      <c r="C135" s="4">
        <f>MIN($B$5,
$B$5*(1-COS(PI()*A135/(2*$B$3))) +
($B$7*$B$5)*EXP(-0.5*((A135/$B$3-$B$8)/$B$9)^2)
)
</f>
        <v/>
      </c>
    </row>
    <row r="136" ht="15.75" customHeight="1" s="5">
      <c r="A136" s="4">
        <f>$B$3*125/200</f>
        <v/>
      </c>
      <c r="B136" s="4">
        <f>SQRT(MAX((($B$5^2+$B$3^2)/(2*$B$5))^2-($B$3-A136)^2,0))-((($B$5^2+$B$3^2)/(2*$B$5))-$B$5)</f>
        <v/>
      </c>
      <c r="C136" s="4">
        <f>MIN($B$5,
$B$5*(1-COS(PI()*A136/(2*$B$3))) +
($B$7*$B$5)*EXP(-0.5*((A136/$B$3-$B$8)/$B$9)^2)
)
</f>
        <v/>
      </c>
    </row>
    <row r="137" ht="15.75" customHeight="1" s="5">
      <c r="A137" s="4">
        <f>$B$3*126/200</f>
        <v/>
      </c>
      <c r="B137" s="4">
        <f>SQRT(MAX((($B$5^2+$B$3^2)/(2*$B$5))^2-($B$3-A137)^2,0))-((($B$5^2+$B$3^2)/(2*$B$5))-$B$5)</f>
        <v/>
      </c>
      <c r="C137" s="4">
        <f>MIN($B$5,
$B$5*(1-COS(PI()*A137/(2*$B$3))) +
($B$7*$B$5)*EXP(-0.5*((A137/$B$3-$B$8)/$B$9)^2)
)
</f>
        <v/>
      </c>
    </row>
    <row r="138" ht="15.75" customHeight="1" s="5">
      <c r="A138" s="4">
        <f>$B$3*127/200</f>
        <v/>
      </c>
      <c r="B138" s="4">
        <f>SQRT(MAX((($B$5^2+$B$3^2)/(2*$B$5))^2-($B$3-A138)^2,0))-((($B$5^2+$B$3^2)/(2*$B$5))-$B$5)</f>
        <v/>
      </c>
      <c r="C138" s="4">
        <f>MIN($B$5,
$B$5*(1-COS(PI()*A138/(2*$B$3))) +
($B$7*$B$5)*EXP(-0.5*((A138/$B$3-$B$8)/$B$9)^2)
)
</f>
        <v/>
      </c>
    </row>
    <row r="139" ht="15.75" customHeight="1" s="5">
      <c r="A139" s="4">
        <f>$B$3*128/200</f>
        <v/>
      </c>
      <c r="B139" s="4">
        <f>SQRT(MAX((($B$5^2+$B$3^2)/(2*$B$5))^2-($B$3-A139)^2,0))-((($B$5^2+$B$3^2)/(2*$B$5))-$B$5)</f>
        <v/>
      </c>
      <c r="C139" s="4">
        <f>MIN($B$5,
$B$5*(1-COS(PI()*A139/(2*$B$3))) +
($B$7*$B$5)*EXP(-0.5*((A139/$B$3-$B$8)/$B$9)^2)
)
</f>
        <v/>
      </c>
    </row>
    <row r="140" ht="15.75" customHeight="1" s="5">
      <c r="A140" s="4">
        <f>$B$3*129/200</f>
        <v/>
      </c>
      <c r="B140" s="4">
        <f>SQRT(MAX((($B$5^2+$B$3^2)/(2*$B$5))^2-($B$3-A140)^2,0))-((($B$5^2+$B$3^2)/(2*$B$5))-$B$5)</f>
        <v/>
      </c>
      <c r="C140" s="4">
        <f>MIN($B$5,
$B$5*(1-COS(PI()*A140/(2*$B$3))) +
($B$7*$B$5)*EXP(-0.5*((A140/$B$3-$B$8)/$B$9)^2)
)
</f>
        <v/>
      </c>
    </row>
    <row r="141" ht="15.75" customHeight="1" s="5">
      <c r="A141" s="4">
        <f>$B$3*130/200</f>
        <v/>
      </c>
      <c r="B141" s="4">
        <f>SQRT(MAX((($B$5^2+$B$3^2)/(2*$B$5))^2-($B$3-A141)^2,0))-((($B$5^2+$B$3^2)/(2*$B$5))-$B$5)</f>
        <v/>
      </c>
      <c r="C141" s="4">
        <f>MIN($B$5,
$B$5*(1-COS(PI()*A141/(2*$B$3))) +
($B$7*$B$5)*EXP(-0.5*((A141/$B$3-$B$8)/$B$9)^2)
)
</f>
        <v/>
      </c>
    </row>
    <row r="142" ht="15.75" customHeight="1" s="5">
      <c r="A142" s="4">
        <f>$B$3*131/200</f>
        <v/>
      </c>
      <c r="B142" s="4">
        <f>SQRT(MAX((($B$5^2+$B$3^2)/(2*$B$5))^2-($B$3-A142)^2,0))-((($B$5^2+$B$3^2)/(2*$B$5))-$B$5)</f>
        <v/>
      </c>
      <c r="C142" s="4">
        <f>MIN($B$5,
$B$5*(1-COS(PI()*A142/(2*$B$3))) +
($B$7*$B$5)*EXP(-0.5*((A142/$B$3-$B$8)/$B$9)^2)
)
</f>
        <v/>
      </c>
    </row>
    <row r="143" ht="15.75" customHeight="1" s="5">
      <c r="A143" s="4">
        <f>$B$3*132/200</f>
        <v/>
      </c>
      <c r="B143" s="4">
        <f>SQRT(MAX((($B$5^2+$B$3^2)/(2*$B$5))^2-($B$3-A143)^2,0))-((($B$5^2+$B$3^2)/(2*$B$5))-$B$5)</f>
        <v/>
      </c>
      <c r="C143" s="4">
        <f>MIN($B$5,
$B$5*(1-COS(PI()*A143/(2*$B$3))) +
($B$7*$B$5)*EXP(-0.5*((A143/$B$3-$B$8)/$B$9)^2)
)
</f>
        <v/>
      </c>
    </row>
    <row r="144" ht="15.75" customHeight="1" s="5">
      <c r="A144" s="4">
        <f>$B$3*133/200</f>
        <v/>
      </c>
      <c r="B144" s="4">
        <f>SQRT(MAX((($B$5^2+$B$3^2)/(2*$B$5))^2-($B$3-A144)^2,0))-((($B$5^2+$B$3^2)/(2*$B$5))-$B$5)</f>
        <v/>
      </c>
      <c r="C144" s="4">
        <f>MIN($B$5,
$B$5*(1-COS(PI()*A144/(2*$B$3))) +
($B$7*$B$5)*EXP(-0.5*((A144/$B$3-$B$8)/$B$9)^2)
)
</f>
        <v/>
      </c>
    </row>
    <row r="145" ht="15.75" customHeight="1" s="5">
      <c r="A145" s="4">
        <f>$B$3*134/200</f>
        <v/>
      </c>
      <c r="B145" s="4">
        <f>SQRT(MAX((($B$5^2+$B$3^2)/(2*$B$5))^2-($B$3-A145)^2,0))-((($B$5^2+$B$3^2)/(2*$B$5))-$B$5)</f>
        <v/>
      </c>
      <c r="C145" s="4">
        <f>MIN($B$5,
$B$5*(1-COS(PI()*A145/(2*$B$3))) +
($B$7*$B$5)*EXP(-0.5*((A145/$B$3-$B$8)/$B$9)^2)
)
</f>
        <v/>
      </c>
    </row>
    <row r="146" ht="15.75" customHeight="1" s="5">
      <c r="A146" s="4">
        <f>$B$3*135/200</f>
        <v/>
      </c>
      <c r="B146" s="4">
        <f>SQRT(MAX((($B$5^2+$B$3^2)/(2*$B$5))^2-($B$3-A146)^2,0))-((($B$5^2+$B$3^2)/(2*$B$5))-$B$5)</f>
        <v/>
      </c>
      <c r="C146" s="4">
        <f>MIN($B$5,
$B$5*(1-COS(PI()*A146/(2*$B$3))) +
($B$7*$B$5)*EXP(-0.5*((A146/$B$3-$B$8)/$B$9)^2)
)
</f>
        <v/>
      </c>
    </row>
    <row r="147" ht="15.75" customHeight="1" s="5">
      <c r="A147" s="4">
        <f>$B$3*136/200</f>
        <v/>
      </c>
      <c r="B147" s="4">
        <f>SQRT(MAX((($B$5^2+$B$3^2)/(2*$B$5))^2-($B$3-A147)^2,0))-((($B$5^2+$B$3^2)/(2*$B$5))-$B$5)</f>
        <v/>
      </c>
      <c r="C147" s="4">
        <f>MIN($B$5,
$B$5*(1-COS(PI()*A147/(2*$B$3))) +
($B$7*$B$5)*EXP(-0.5*((A147/$B$3-$B$8)/$B$9)^2)
)
</f>
        <v/>
      </c>
    </row>
    <row r="148" ht="15.75" customHeight="1" s="5">
      <c r="A148" s="4">
        <f>$B$3*137/200</f>
        <v/>
      </c>
      <c r="B148" s="4">
        <f>SQRT(MAX((($B$5^2+$B$3^2)/(2*$B$5))^2-($B$3-A148)^2,0))-((($B$5^2+$B$3^2)/(2*$B$5))-$B$5)</f>
        <v/>
      </c>
      <c r="C148" s="4">
        <f>MIN($B$5,
$B$5*(1-COS(PI()*A148/(2*$B$3))) +
($B$7*$B$5)*EXP(-0.5*((A148/$B$3-$B$8)/$B$9)^2)
)
</f>
        <v/>
      </c>
    </row>
    <row r="149" ht="15.75" customHeight="1" s="5">
      <c r="A149" s="4">
        <f>$B$3*138/200</f>
        <v/>
      </c>
      <c r="B149" s="4">
        <f>SQRT(MAX((($B$5^2+$B$3^2)/(2*$B$5))^2-($B$3-A149)^2,0))-((($B$5^2+$B$3^2)/(2*$B$5))-$B$5)</f>
        <v/>
      </c>
      <c r="C149" s="4">
        <f>MIN($B$5,
$B$5*(1-COS(PI()*A149/(2*$B$3))) +
($B$7*$B$5)*EXP(-0.5*((A149/$B$3-$B$8)/$B$9)^2)
)
</f>
        <v/>
      </c>
    </row>
    <row r="150" ht="15.75" customHeight="1" s="5">
      <c r="A150" s="4">
        <f>$B$3*139/200</f>
        <v/>
      </c>
      <c r="B150" s="4">
        <f>SQRT(MAX((($B$5^2+$B$3^2)/(2*$B$5))^2-($B$3-A150)^2,0))-((($B$5^2+$B$3^2)/(2*$B$5))-$B$5)</f>
        <v/>
      </c>
      <c r="C150" s="4">
        <f>MIN($B$5,
$B$5*(1-COS(PI()*A150/(2*$B$3))) +
($B$7*$B$5)*EXP(-0.5*((A150/$B$3-$B$8)/$B$9)^2)
)
</f>
        <v/>
      </c>
    </row>
    <row r="151" ht="15.75" customHeight="1" s="5">
      <c r="A151" s="4">
        <f>$B$3*140/200</f>
        <v/>
      </c>
      <c r="B151" s="4">
        <f>SQRT(MAX((($B$5^2+$B$3^2)/(2*$B$5))^2-($B$3-A151)^2,0))-((($B$5^2+$B$3^2)/(2*$B$5))-$B$5)</f>
        <v/>
      </c>
      <c r="C151" s="4">
        <f>MIN($B$5,
$B$5*(1-COS(PI()*A151/(2*$B$3))) +
($B$7*$B$5)*EXP(-0.5*((A151/$B$3-$B$8)/$B$9)^2)
)
</f>
        <v/>
      </c>
    </row>
    <row r="152" ht="15.75" customHeight="1" s="5">
      <c r="A152" s="4">
        <f>$B$3*141/200</f>
        <v/>
      </c>
      <c r="B152" s="4">
        <f>SQRT(MAX((($B$5^2+$B$3^2)/(2*$B$5))^2-($B$3-A152)^2,0))-((($B$5^2+$B$3^2)/(2*$B$5))-$B$5)</f>
        <v/>
      </c>
      <c r="C152" s="4">
        <f>MIN($B$5,
$B$5*(1-COS(PI()*A152/(2*$B$3))) +
($B$7*$B$5)*EXP(-0.5*((A152/$B$3-$B$8)/$B$9)^2)
)
</f>
        <v/>
      </c>
    </row>
    <row r="153" ht="15.75" customHeight="1" s="5">
      <c r="A153" s="4">
        <f>$B$3*142/200</f>
        <v/>
      </c>
      <c r="B153" s="4">
        <f>SQRT(MAX((($B$5^2+$B$3^2)/(2*$B$5))^2-($B$3-A153)^2,0))-((($B$5^2+$B$3^2)/(2*$B$5))-$B$5)</f>
        <v/>
      </c>
      <c r="C153" s="4">
        <f>MIN($B$5,
$B$5*(1-COS(PI()*A153/(2*$B$3))) +
($B$7*$B$5)*EXP(-0.5*((A153/$B$3-$B$8)/$B$9)^2)
)
</f>
        <v/>
      </c>
    </row>
    <row r="154" ht="15.75" customHeight="1" s="5">
      <c r="A154" s="4">
        <f>$B$3*143/200</f>
        <v/>
      </c>
      <c r="B154" s="4">
        <f>SQRT(MAX((($B$5^2+$B$3^2)/(2*$B$5))^2-($B$3-A154)^2,0))-((($B$5^2+$B$3^2)/(2*$B$5))-$B$5)</f>
        <v/>
      </c>
      <c r="C154" s="4">
        <f>MIN($B$5,
$B$5*(1-COS(PI()*A154/(2*$B$3))) +
($B$7*$B$5)*EXP(-0.5*((A154/$B$3-$B$8)/$B$9)^2)
)
</f>
        <v/>
      </c>
    </row>
    <row r="155" ht="15.75" customHeight="1" s="5">
      <c r="A155" s="4">
        <f>$B$3*144/200</f>
        <v/>
      </c>
      <c r="B155" s="4">
        <f>SQRT(MAX((($B$5^2+$B$3^2)/(2*$B$5))^2-($B$3-A155)^2,0))-((($B$5^2+$B$3^2)/(2*$B$5))-$B$5)</f>
        <v/>
      </c>
      <c r="C155" s="4">
        <f>MIN($B$5,
$B$5*(1-COS(PI()*A155/(2*$B$3))) +
($B$7*$B$5)*EXP(-0.5*((A155/$B$3-$B$8)/$B$9)^2)
)
</f>
        <v/>
      </c>
    </row>
    <row r="156" ht="15.75" customHeight="1" s="5">
      <c r="A156" s="4">
        <f>$B$3*145/200</f>
        <v/>
      </c>
      <c r="B156" s="4">
        <f>SQRT(MAX((($B$5^2+$B$3^2)/(2*$B$5))^2-($B$3-A156)^2,0))-((($B$5^2+$B$3^2)/(2*$B$5))-$B$5)</f>
        <v/>
      </c>
      <c r="C156" s="4">
        <f>MIN($B$5,
$B$5*(1-COS(PI()*A156/(2*$B$3))) +
($B$7*$B$5)*EXP(-0.5*((A156/$B$3-$B$8)/$B$9)^2)
)
</f>
        <v/>
      </c>
    </row>
    <row r="157" ht="15.75" customHeight="1" s="5">
      <c r="A157" s="4">
        <f>$B$3*146/200</f>
        <v/>
      </c>
      <c r="B157" s="4">
        <f>SQRT(MAX((($B$5^2+$B$3^2)/(2*$B$5))^2-($B$3-A157)^2,0))-((($B$5^2+$B$3^2)/(2*$B$5))-$B$5)</f>
        <v/>
      </c>
      <c r="C157" s="4">
        <f>MIN($B$5,
$B$5*(1-COS(PI()*A157/(2*$B$3))) +
($B$7*$B$5)*EXP(-0.5*((A157/$B$3-$B$8)/$B$9)^2)
)
</f>
        <v/>
      </c>
    </row>
    <row r="158" ht="15.75" customHeight="1" s="5">
      <c r="A158" s="4">
        <f>$B$3*147/200</f>
        <v/>
      </c>
      <c r="B158" s="4">
        <f>SQRT(MAX((($B$5^2+$B$3^2)/(2*$B$5))^2-($B$3-A158)^2,0))-((($B$5^2+$B$3^2)/(2*$B$5))-$B$5)</f>
        <v/>
      </c>
      <c r="C158" s="4">
        <f>MIN($B$5,
$B$5*(1-COS(PI()*A158/(2*$B$3))) +
($B$7*$B$5)*EXP(-0.5*((A158/$B$3-$B$8)/$B$9)^2)
)
</f>
        <v/>
      </c>
    </row>
    <row r="159" ht="15.75" customHeight="1" s="5">
      <c r="A159" s="4">
        <f>$B$3*148/200</f>
        <v/>
      </c>
      <c r="B159" s="4">
        <f>SQRT(MAX((($B$5^2+$B$3^2)/(2*$B$5))^2-($B$3-A159)^2,0))-((($B$5^2+$B$3^2)/(2*$B$5))-$B$5)</f>
        <v/>
      </c>
      <c r="C159" s="4">
        <f>MIN($B$5,
$B$5*(1-COS(PI()*A159/(2*$B$3))) +
($B$7*$B$5)*EXP(-0.5*((A159/$B$3-$B$8)/$B$9)^2)
)
</f>
        <v/>
      </c>
    </row>
    <row r="160" ht="15.75" customHeight="1" s="5">
      <c r="A160" s="4">
        <f>$B$3*149/200</f>
        <v/>
      </c>
      <c r="B160" s="4">
        <f>SQRT(MAX((($B$5^2+$B$3^2)/(2*$B$5))^2-($B$3-A160)^2,0))-((($B$5^2+$B$3^2)/(2*$B$5))-$B$5)</f>
        <v/>
      </c>
      <c r="C160" s="4">
        <f>MIN($B$5,
$B$5*(1-COS(PI()*A160/(2*$B$3))) +
($B$7*$B$5)*EXP(-0.5*((A160/$B$3-$B$8)/$B$9)^2)
)
</f>
        <v/>
      </c>
    </row>
    <row r="161" ht="15.75" customHeight="1" s="5">
      <c r="A161" s="4">
        <f>$B$3*150/200</f>
        <v/>
      </c>
      <c r="B161" s="4">
        <f>SQRT(MAX((($B$5^2+$B$3^2)/(2*$B$5))^2-($B$3-A161)^2,0))-((($B$5^2+$B$3^2)/(2*$B$5))-$B$5)</f>
        <v/>
      </c>
      <c r="C161" s="4">
        <f>MIN($B$5,
$B$5*(1-COS(PI()*A161/(2*$B$3))) +
($B$7*$B$5)*EXP(-0.5*((A161/$B$3-$B$8)/$B$9)^2)
)
</f>
        <v/>
      </c>
    </row>
    <row r="162" ht="15.75" customHeight="1" s="5">
      <c r="A162" s="4">
        <f>$B$3*151/200</f>
        <v/>
      </c>
      <c r="B162" s="4">
        <f>SQRT(MAX((($B$5^2+$B$3^2)/(2*$B$5))^2-($B$3-A162)^2,0))-((($B$5^2+$B$3^2)/(2*$B$5))-$B$5)</f>
        <v/>
      </c>
      <c r="C162" s="4">
        <f>MIN($B$5,
$B$5*(1-COS(PI()*A162/(2*$B$3))) +
($B$7*$B$5)*EXP(-0.5*((A162/$B$3-$B$8)/$B$9)^2)
)
</f>
        <v/>
      </c>
    </row>
    <row r="163" ht="15.75" customHeight="1" s="5">
      <c r="A163" s="4">
        <f>$B$3*152/200</f>
        <v/>
      </c>
      <c r="B163" s="4">
        <f>SQRT(MAX((($B$5^2+$B$3^2)/(2*$B$5))^2-($B$3-A163)^2,0))-((($B$5^2+$B$3^2)/(2*$B$5))-$B$5)</f>
        <v/>
      </c>
      <c r="C163" s="4">
        <f>MIN($B$5,
$B$5*(1-COS(PI()*A163/(2*$B$3))) +
($B$7*$B$5)*EXP(-0.5*((A163/$B$3-$B$8)/$B$9)^2)
)
</f>
        <v/>
      </c>
    </row>
    <row r="164" ht="15.75" customHeight="1" s="5">
      <c r="A164" s="4">
        <f>$B$3*153/200</f>
        <v/>
      </c>
      <c r="B164" s="4">
        <f>SQRT(MAX((($B$5^2+$B$3^2)/(2*$B$5))^2-($B$3-A164)^2,0))-((($B$5^2+$B$3^2)/(2*$B$5))-$B$5)</f>
        <v/>
      </c>
      <c r="C164" s="4">
        <f>MIN($B$5,
$B$5*(1-COS(PI()*A164/(2*$B$3))) +
($B$7*$B$5)*EXP(-0.5*((A164/$B$3-$B$8)/$B$9)^2)
)
</f>
        <v/>
      </c>
    </row>
    <row r="165" ht="15.75" customHeight="1" s="5">
      <c r="A165" s="4">
        <f>$B$3*154/200</f>
        <v/>
      </c>
      <c r="B165" s="4">
        <f>SQRT(MAX((($B$5^2+$B$3^2)/(2*$B$5))^2-($B$3-A165)^2,0))-((($B$5^2+$B$3^2)/(2*$B$5))-$B$5)</f>
        <v/>
      </c>
      <c r="C165" s="4">
        <f>MIN($B$5,
$B$5*(1-COS(PI()*A165/(2*$B$3))) +
($B$7*$B$5)*EXP(-0.5*((A165/$B$3-$B$8)/$B$9)^2)
)
</f>
        <v/>
      </c>
    </row>
    <row r="166" ht="15.75" customHeight="1" s="5">
      <c r="A166" s="4">
        <f>$B$3*155/200</f>
        <v/>
      </c>
      <c r="B166" s="4">
        <f>SQRT(MAX((($B$5^2+$B$3^2)/(2*$B$5))^2-($B$3-A166)^2,0))-((($B$5^2+$B$3^2)/(2*$B$5))-$B$5)</f>
        <v/>
      </c>
      <c r="C166" s="4">
        <f>MIN($B$5,
$B$5*(1-COS(PI()*A166/(2*$B$3))) +
($B$7*$B$5)*EXP(-0.5*((A166/$B$3-$B$8)/$B$9)^2)
)
</f>
        <v/>
      </c>
    </row>
    <row r="167" ht="15.75" customHeight="1" s="5">
      <c r="A167" s="4">
        <f>$B$3*156/200</f>
        <v/>
      </c>
      <c r="B167" s="4">
        <f>SQRT(MAX((($B$5^2+$B$3^2)/(2*$B$5))^2-($B$3-A167)^2,0))-((($B$5^2+$B$3^2)/(2*$B$5))-$B$5)</f>
        <v/>
      </c>
      <c r="C167" s="4">
        <f>MIN($B$5,
$B$5*(1-COS(PI()*A167/(2*$B$3))) +
($B$7*$B$5)*EXP(-0.5*((A167/$B$3-$B$8)/$B$9)^2)
)
</f>
        <v/>
      </c>
    </row>
    <row r="168" ht="15.75" customHeight="1" s="5">
      <c r="A168" s="4">
        <f>$B$3*157/200</f>
        <v/>
      </c>
      <c r="B168" s="4">
        <f>SQRT(MAX((($B$5^2+$B$3^2)/(2*$B$5))^2-($B$3-A168)^2,0))-((($B$5^2+$B$3^2)/(2*$B$5))-$B$5)</f>
        <v/>
      </c>
      <c r="C168" s="4">
        <f>MIN($B$5,
$B$5*(1-COS(PI()*A168/(2*$B$3))) +
($B$7*$B$5)*EXP(-0.5*((A168/$B$3-$B$8)/$B$9)^2)
)
</f>
        <v/>
      </c>
    </row>
    <row r="169" ht="15.75" customHeight="1" s="5">
      <c r="A169" s="4">
        <f>$B$3*158/200</f>
        <v/>
      </c>
      <c r="B169" s="4">
        <f>SQRT(MAX((($B$5^2+$B$3^2)/(2*$B$5))^2-($B$3-A169)^2,0))-((($B$5^2+$B$3^2)/(2*$B$5))-$B$5)</f>
        <v/>
      </c>
      <c r="C169" s="4">
        <f>MIN($B$5,
$B$5*(1-COS(PI()*A169/(2*$B$3))) +
($B$7*$B$5)*EXP(-0.5*((A169/$B$3-$B$8)/$B$9)^2)
)
</f>
        <v/>
      </c>
    </row>
    <row r="170" ht="15.75" customHeight="1" s="5">
      <c r="A170" s="4">
        <f>$B$3*159/200</f>
        <v/>
      </c>
      <c r="B170" s="4">
        <f>SQRT(MAX((($B$5^2+$B$3^2)/(2*$B$5))^2-($B$3-A170)^2,0))-((($B$5^2+$B$3^2)/(2*$B$5))-$B$5)</f>
        <v/>
      </c>
      <c r="C170" s="4">
        <f>MIN($B$5,
$B$5*(1-COS(PI()*A170/(2*$B$3))) +
($B$7*$B$5)*EXP(-0.5*((A170/$B$3-$B$8)/$B$9)^2)
)
</f>
        <v/>
      </c>
    </row>
    <row r="171" ht="15.75" customHeight="1" s="5">
      <c r="A171" s="4">
        <f>$B$3*160/200</f>
        <v/>
      </c>
      <c r="B171" s="4">
        <f>SQRT(MAX((($B$5^2+$B$3^2)/(2*$B$5))^2-($B$3-A171)^2,0))-((($B$5^2+$B$3^2)/(2*$B$5))-$B$5)</f>
        <v/>
      </c>
      <c r="C171" s="4">
        <f>MIN($B$5,
$B$5*(1-COS(PI()*A171/(2*$B$3))) +
($B$7*$B$5)*EXP(-0.5*((A171/$B$3-$B$8)/$B$9)^2)
)
</f>
        <v/>
      </c>
    </row>
    <row r="172" ht="15.75" customHeight="1" s="5">
      <c r="A172" s="4">
        <f>$B$3*161/200</f>
        <v/>
      </c>
      <c r="B172" s="4">
        <f>SQRT(MAX((($B$5^2+$B$3^2)/(2*$B$5))^2-($B$3-A172)^2,0))-((($B$5^2+$B$3^2)/(2*$B$5))-$B$5)</f>
        <v/>
      </c>
      <c r="C172" s="4">
        <f>MIN($B$5,
$B$5*(1-COS(PI()*A172/(2*$B$3))) +
($B$7*$B$5)*EXP(-0.5*((A172/$B$3-$B$8)/$B$9)^2)
)
</f>
        <v/>
      </c>
    </row>
    <row r="173" ht="15.75" customHeight="1" s="5">
      <c r="A173" s="4">
        <f>$B$3*162/200</f>
        <v/>
      </c>
      <c r="B173" s="4">
        <f>SQRT(MAX((($B$5^2+$B$3^2)/(2*$B$5))^2-($B$3-A173)^2,0))-((($B$5^2+$B$3^2)/(2*$B$5))-$B$5)</f>
        <v/>
      </c>
      <c r="C173" s="4">
        <f>MIN($B$5,
$B$5*(1-COS(PI()*A173/(2*$B$3))) +
($B$7*$B$5)*EXP(-0.5*((A173/$B$3-$B$8)/$B$9)^2)
)
</f>
        <v/>
      </c>
    </row>
    <row r="174" ht="15.75" customHeight="1" s="5">
      <c r="A174" s="4">
        <f>$B$3*163/200</f>
        <v/>
      </c>
      <c r="B174" s="4">
        <f>SQRT(MAX((($B$5^2+$B$3^2)/(2*$B$5))^2-($B$3-A174)^2,0))-((($B$5^2+$B$3^2)/(2*$B$5))-$B$5)</f>
        <v/>
      </c>
      <c r="C174" s="4">
        <f>MIN($B$5,
$B$5*(1-COS(PI()*A174/(2*$B$3))) +
($B$7*$B$5)*EXP(-0.5*((A174/$B$3-$B$8)/$B$9)^2)
)
</f>
        <v/>
      </c>
    </row>
    <row r="175" ht="15.75" customHeight="1" s="5">
      <c r="A175" s="4">
        <f>$B$3*164/200</f>
        <v/>
      </c>
      <c r="B175" s="4">
        <f>SQRT(MAX((($B$5^2+$B$3^2)/(2*$B$5))^2-($B$3-A175)^2,0))-((($B$5^2+$B$3^2)/(2*$B$5))-$B$5)</f>
        <v/>
      </c>
      <c r="C175" s="4">
        <f>MIN($B$5,
$B$5*(1-COS(PI()*A175/(2*$B$3))) +
($B$7*$B$5)*EXP(-0.5*((A175/$B$3-$B$8)/$B$9)^2)
)
</f>
        <v/>
      </c>
    </row>
    <row r="176" ht="15.75" customHeight="1" s="5">
      <c r="A176" s="4">
        <f>$B$3*165/200</f>
        <v/>
      </c>
      <c r="B176" s="4">
        <f>SQRT(MAX((($B$5^2+$B$3^2)/(2*$B$5))^2-($B$3-A176)^2,0))-((($B$5^2+$B$3^2)/(2*$B$5))-$B$5)</f>
        <v/>
      </c>
      <c r="C176" s="4">
        <f>MIN($B$5,
$B$5*(1-COS(PI()*A176/(2*$B$3))) +
($B$7*$B$5)*EXP(-0.5*((A176/$B$3-$B$8)/$B$9)^2)
)
</f>
        <v/>
      </c>
    </row>
    <row r="177" ht="15.75" customHeight="1" s="5">
      <c r="A177" s="4">
        <f>$B$3*166/200</f>
        <v/>
      </c>
      <c r="B177" s="4">
        <f>SQRT(MAX((($B$5^2+$B$3^2)/(2*$B$5))^2-($B$3-A177)^2,0))-((($B$5^2+$B$3^2)/(2*$B$5))-$B$5)</f>
        <v/>
      </c>
      <c r="C177" s="4">
        <f>MIN($B$5,
$B$5*(1-COS(PI()*A177/(2*$B$3))) +
($B$7*$B$5)*EXP(-0.5*((A177/$B$3-$B$8)/$B$9)^2)
)
</f>
        <v/>
      </c>
    </row>
    <row r="178" ht="15.75" customHeight="1" s="5">
      <c r="A178" s="4">
        <f>$B$3*167/200</f>
        <v/>
      </c>
      <c r="B178" s="4">
        <f>SQRT(MAX((($B$5^2+$B$3^2)/(2*$B$5))^2-($B$3-A178)^2,0))-((($B$5^2+$B$3^2)/(2*$B$5))-$B$5)</f>
        <v/>
      </c>
      <c r="C178" s="4">
        <f>MIN($B$5,
$B$5*(1-COS(PI()*A178/(2*$B$3))) +
($B$7*$B$5)*EXP(-0.5*((A178/$B$3-$B$8)/$B$9)^2)
)
</f>
        <v/>
      </c>
    </row>
    <row r="179" ht="15.75" customHeight="1" s="5">
      <c r="A179" s="4">
        <f>$B$3*168/200</f>
        <v/>
      </c>
      <c r="B179" s="4">
        <f>SQRT(MAX((($B$5^2+$B$3^2)/(2*$B$5))^2-($B$3-A179)^2,0))-((($B$5^2+$B$3^2)/(2*$B$5))-$B$5)</f>
        <v/>
      </c>
      <c r="C179" s="4">
        <f>MIN($B$5,
$B$5*(1-COS(PI()*A179/(2*$B$3))) +
($B$7*$B$5)*EXP(-0.5*((A179/$B$3-$B$8)/$B$9)^2)
)
</f>
        <v/>
      </c>
    </row>
    <row r="180" ht="15.75" customHeight="1" s="5">
      <c r="A180" s="4">
        <f>$B$3*169/200</f>
        <v/>
      </c>
      <c r="B180" s="4">
        <f>SQRT(MAX((($B$5^2+$B$3^2)/(2*$B$5))^2-($B$3-A180)^2,0))-((($B$5^2+$B$3^2)/(2*$B$5))-$B$5)</f>
        <v/>
      </c>
      <c r="C180" s="4">
        <f>MIN($B$5,
$B$5*(1-COS(PI()*A180/(2*$B$3))) +
($B$7*$B$5)*EXP(-0.5*((A180/$B$3-$B$8)/$B$9)^2)
)
</f>
        <v/>
      </c>
    </row>
    <row r="181" ht="15.75" customHeight="1" s="5">
      <c r="A181" s="4">
        <f>$B$3*170/200</f>
        <v/>
      </c>
      <c r="B181" s="4">
        <f>SQRT(MAX((($B$5^2+$B$3^2)/(2*$B$5))^2-($B$3-A181)^2,0))-((($B$5^2+$B$3^2)/(2*$B$5))-$B$5)</f>
        <v/>
      </c>
      <c r="C181" s="4">
        <f>MIN($B$5,
$B$5*(1-COS(PI()*A181/(2*$B$3))) +
($B$7*$B$5)*EXP(-0.5*((A181/$B$3-$B$8)/$B$9)^2)
)
</f>
        <v/>
      </c>
    </row>
    <row r="182" ht="15.75" customHeight="1" s="5">
      <c r="A182" s="4">
        <f>$B$3*171/200</f>
        <v/>
      </c>
      <c r="B182" s="4">
        <f>SQRT(MAX((($B$5^2+$B$3^2)/(2*$B$5))^2-($B$3-A182)^2,0))-((($B$5^2+$B$3^2)/(2*$B$5))-$B$5)</f>
        <v/>
      </c>
      <c r="C182" s="4">
        <f>MIN($B$5,
$B$5*(1-COS(PI()*A182/(2*$B$3))) +
($B$7*$B$5)*EXP(-0.5*((A182/$B$3-$B$8)/$B$9)^2)
)
</f>
        <v/>
      </c>
    </row>
    <row r="183" ht="15.75" customHeight="1" s="5">
      <c r="A183" s="4">
        <f>$B$3*172/200</f>
        <v/>
      </c>
      <c r="B183" s="4">
        <f>SQRT(MAX((($B$5^2+$B$3^2)/(2*$B$5))^2-($B$3-A183)^2,0))-((($B$5^2+$B$3^2)/(2*$B$5))-$B$5)</f>
        <v/>
      </c>
      <c r="C183" s="4">
        <f>MIN($B$5,
$B$5*(1-COS(PI()*A183/(2*$B$3))) +
($B$7*$B$5)*EXP(-0.5*((A183/$B$3-$B$8)/$B$9)^2)
)
</f>
        <v/>
      </c>
    </row>
    <row r="184" ht="15.75" customHeight="1" s="5">
      <c r="A184" s="4">
        <f>$B$3*173/200</f>
        <v/>
      </c>
      <c r="B184" s="4">
        <f>SQRT(MAX((($B$5^2+$B$3^2)/(2*$B$5))^2-($B$3-A184)^2,0))-((($B$5^2+$B$3^2)/(2*$B$5))-$B$5)</f>
        <v/>
      </c>
      <c r="C184" s="4">
        <f>MIN($B$5,
$B$5*(1-COS(PI()*A184/(2*$B$3))) +
($B$7*$B$5)*EXP(-0.5*((A184/$B$3-$B$8)/$B$9)^2)
)
</f>
        <v/>
      </c>
    </row>
    <row r="185" ht="15.75" customHeight="1" s="5">
      <c r="A185" s="4">
        <f>$B$3*174/200</f>
        <v/>
      </c>
      <c r="B185" s="4">
        <f>SQRT(MAX((($B$5^2+$B$3^2)/(2*$B$5))^2-($B$3-A185)^2,0))-((($B$5^2+$B$3^2)/(2*$B$5))-$B$5)</f>
        <v/>
      </c>
      <c r="C185" s="4">
        <f>MIN($B$5,
$B$5*(1-COS(PI()*A185/(2*$B$3))) +
($B$7*$B$5)*EXP(-0.5*((A185/$B$3-$B$8)/$B$9)^2)
)
</f>
        <v/>
      </c>
    </row>
    <row r="186" ht="15.75" customHeight="1" s="5">
      <c r="A186" s="4">
        <f>$B$3*175/200</f>
        <v/>
      </c>
      <c r="B186" s="4">
        <f>SQRT(MAX((($B$5^2+$B$3^2)/(2*$B$5))^2-($B$3-A186)^2,0))-((($B$5^2+$B$3^2)/(2*$B$5))-$B$5)</f>
        <v/>
      </c>
      <c r="C186" s="4">
        <f>MIN($B$5,
$B$5*(1-COS(PI()*A186/(2*$B$3))) +
($B$7*$B$5)*EXP(-0.5*((A186/$B$3-$B$8)/$B$9)^2)
)
</f>
        <v/>
      </c>
    </row>
    <row r="187" ht="15.75" customHeight="1" s="5">
      <c r="A187" s="4">
        <f>$B$3*176/200</f>
        <v/>
      </c>
      <c r="B187" s="4">
        <f>SQRT(MAX((($B$5^2+$B$3^2)/(2*$B$5))^2-($B$3-A187)^2,0))-((($B$5^2+$B$3^2)/(2*$B$5))-$B$5)</f>
        <v/>
      </c>
      <c r="C187" s="4">
        <f>MIN($B$5,
$B$5*(1-COS(PI()*A187/(2*$B$3))) +
($B$7*$B$5)*EXP(-0.5*((A187/$B$3-$B$8)/$B$9)^2)
)
</f>
        <v/>
      </c>
    </row>
    <row r="188" ht="15.75" customHeight="1" s="5">
      <c r="A188" s="4">
        <f>$B$3*177/200</f>
        <v/>
      </c>
      <c r="B188" s="4">
        <f>SQRT(MAX((($B$5^2+$B$3^2)/(2*$B$5))^2-($B$3-A188)^2,0))-((($B$5^2+$B$3^2)/(2*$B$5))-$B$5)</f>
        <v/>
      </c>
      <c r="C188" s="4">
        <f>MIN($B$5,
$B$5*(1-COS(PI()*A188/(2*$B$3))) +
($B$7*$B$5)*EXP(-0.5*((A188/$B$3-$B$8)/$B$9)^2)
)
</f>
        <v/>
      </c>
    </row>
    <row r="189" ht="15.75" customHeight="1" s="5">
      <c r="A189" s="4">
        <f>$B$3*178/200</f>
        <v/>
      </c>
      <c r="B189" s="4">
        <f>SQRT(MAX((($B$5^2+$B$3^2)/(2*$B$5))^2-($B$3-A189)^2,0))-((($B$5^2+$B$3^2)/(2*$B$5))-$B$5)</f>
        <v/>
      </c>
      <c r="C189" s="4">
        <f>MIN($B$5,
$B$5*(1-COS(PI()*A189/(2*$B$3))) +
($B$7*$B$5)*EXP(-0.5*((A189/$B$3-$B$8)/$B$9)^2)
)
</f>
        <v/>
      </c>
    </row>
    <row r="190" ht="15.75" customHeight="1" s="5">
      <c r="A190" s="4">
        <f>$B$3*179/200</f>
        <v/>
      </c>
      <c r="B190" s="4">
        <f>SQRT(MAX((($B$5^2+$B$3^2)/(2*$B$5))^2-($B$3-A190)^2,0))-((($B$5^2+$B$3^2)/(2*$B$5))-$B$5)</f>
        <v/>
      </c>
      <c r="C190" s="4">
        <f>MIN($B$5,
$B$5*(1-COS(PI()*A190/(2*$B$3))) +
($B$7*$B$5)*EXP(-0.5*((A190/$B$3-$B$8)/$B$9)^2)
)
</f>
        <v/>
      </c>
    </row>
    <row r="191" ht="15.75" customHeight="1" s="5">
      <c r="A191" s="4">
        <f>$B$3*180/200</f>
        <v/>
      </c>
      <c r="B191" s="4">
        <f>SQRT(MAX((($B$5^2+$B$3^2)/(2*$B$5))^2-($B$3-A191)^2,0))-((($B$5^2+$B$3^2)/(2*$B$5))-$B$5)</f>
        <v/>
      </c>
      <c r="C191" s="4">
        <f>MIN($B$5,
$B$5*(1-COS(PI()*A191/(2*$B$3))) +
($B$7*$B$5)*EXP(-0.5*((A191/$B$3-$B$8)/$B$9)^2)
)
</f>
        <v/>
      </c>
    </row>
    <row r="192" ht="15.75" customHeight="1" s="5">
      <c r="A192" s="4">
        <f>$B$3*181/200</f>
        <v/>
      </c>
      <c r="B192" s="4">
        <f>SQRT(MAX((($B$5^2+$B$3^2)/(2*$B$5))^2-($B$3-A192)^2,0))-((($B$5^2+$B$3^2)/(2*$B$5))-$B$5)</f>
        <v/>
      </c>
      <c r="C192" s="4">
        <f>MIN($B$5,
$B$5*(1-COS(PI()*A192/(2*$B$3))) +
($B$7*$B$5)*EXP(-0.5*((A192/$B$3-$B$8)/$B$9)^2)
)
</f>
        <v/>
      </c>
    </row>
    <row r="193" ht="15.75" customHeight="1" s="5">
      <c r="A193" s="4">
        <f>$B$3*182/200</f>
        <v/>
      </c>
      <c r="B193" s="4">
        <f>SQRT(MAX((($B$5^2+$B$3^2)/(2*$B$5))^2-($B$3-A193)^2,0))-((($B$5^2+$B$3^2)/(2*$B$5))-$B$5)</f>
        <v/>
      </c>
      <c r="C193" s="4">
        <f>MIN($B$5,
$B$5*(1-COS(PI()*A193/(2*$B$3))) +
($B$7*$B$5)*EXP(-0.5*((A193/$B$3-$B$8)/$B$9)^2)
)
</f>
        <v/>
      </c>
    </row>
    <row r="194" ht="15.75" customHeight="1" s="5">
      <c r="A194" s="4">
        <f>$B$3*183/200</f>
        <v/>
      </c>
      <c r="B194" s="4">
        <f>SQRT(MAX((($B$5^2+$B$3^2)/(2*$B$5))^2-($B$3-A194)^2,0))-((($B$5^2+$B$3^2)/(2*$B$5))-$B$5)</f>
        <v/>
      </c>
      <c r="C194" s="4">
        <f>MIN($B$5,
$B$5*(1-COS(PI()*A194/(2*$B$3))) +
($B$7*$B$5)*EXP(-0.5*((A194/$B$3-$B$8)/$B$9)^2)
)
</f>
        <v/>
      </c>
    </row>
    <row r="195" ht="15.75" customHeight="1" s="5">
      <c r="A195" s="4">
        <f>$B$3*184/200</f>
        <v/>
      </c>
      <c r="B195" s="4">
        <f>SQRT(MAX((($B$5^2+$B$3^2)/(2*$B$5))^2-($B$3-A195)^2,0))-((($B$5^2+$B$3^2)/(2*$B$5))-$B$5)</f>
        <v/>
      </c>
      <c r="C195" s="4">
        <f>MIN($B$5,
$B$5*(1-COS(PI()*A195/(2*$B$3))) +
($B$7*$B$5)*EXP(-0.5*((A195/$B$3-$B$8)/$B$9)^2)
)
</f>
        <v/>
      </c>
    </row>
    <row r="196" ht="15.75" customHeight="1" s="5">
      <c r="A196" s="4">
        <f>$B$3*185/200</f>
        <v/>
      </c>
      <c r="B196" s="4">
        <f>SQRT(MAX((($B$5^2+$B$3^2)/(2*$B$5))^2-($B$3-A196)^2,0))-((($B$5^2+$B$3^2)/(2*$B$5))-$B$5)</f>
        <v/>
      </c>
      <c r="C196" s="4">
        <f>MIN($B$5,
$B$5*(1-COS(PI()*A196/(2*$B$3))) +
($B$7*$B$5)*EXP(-0.5*((A196/$B$3-$B$8)/$B$9)^2)
)
</f>
        <v/>
      </c>
    </row>
    <row r="197" ht="15.75" customHeight="1" s="5">
      <c r="A197" s="4">
        <f>$B$3*186/200</f>
        <v/>
      </c>
      <c r="B197" s="4">
        <f>SQRT(MAX((($B$5^2+$B$3^2)/(2*$B$5))^2-($B$3-A197)^2,0))-((($B$5^2+$B$3^2)/(2*$B$5))-$B$5)</f>
        <v/>
      </c>
      <c r="C197" s="4">
        <f>MIN($B$5,
$B$5*(1-COS(PI()*A197/(2*$B$3))) +
($B$7*$B$5)*EXP(-0.5*((A197/$B$3-$B$8)/$B$9)^2)
)
</f>
        <v/>
      </c>
    </row>
    <row r="198" ht="15.75" customHeight="1" s="5">
      <c r="A198" s="4">
        <f>$B$3*187/200</f>
        <v/>
      </c>
      <c r="B198" s="4">
        <f>SQRT(MAX((($B$5^2+$B$3^2)/(2*$B$5))^2-($B$3-A198)^2,0))-((($B$5^2+$B$3^2)/(2*$B$5))-$B$5)</f>
        <v/>
      </c>
      <c r="C198" s="4">
        <f>MIN($B$5,
$B$5*(1-COS(PI()*A198/(2*$B$3))) +
($B$7*$B$5)*EXP(-0.5*((A198/$B$3-$B$8)/$B$9)^2)
)
</f>
        <v/>
      </c>
    </row>
    <row r="199" ht="15.75" customHeight="1" s="5">
      <c r="A199" s="4">
        <f>$B$3*188/200</f>
        <v/>
      </c>
      <c r="B199" s="4">
        <f>SQRT(MAX((($B$5^2+$B$3^2)/(2*$B$5))^2-($B$3-A199)^2,0))-((($B$5^2+$B$3^2)/(2*$B$5))-$B$5)</f>
        <v/>
      </c>
      <c r="C199" s="4">
        <f>MIN($B$5,
$B$5*(1-COS(PI()*A199/(2*$B$3))) +
($B$7*$B$5)*EXP(-0.5*((A199/$B$3-$B$8)/$B$9)^2)
)
</f>
        <v/>
      </c>
    </row>
    <row r="200" ht="15.75" customHeight="1" s="5">
      <c r="A200" s="4">
        <f>$B$3*189/200</f>
        <v/>
      </c>
      <c r="B200" s="4">
        <f>SQRT(MAX((($B$5^2+$B$3^2)/(2*$B$5))^2-($B$3-A200)^2,0))-((($B$5^2+$B$3^2)/(2*$B$5))-$B$5)</f>
        <v/>
      </c>
      <c r="C200" s="4">
        <f>MIN($B$5,
$B$5*(1-COS(PI()*A200/(2*$B$3))) +
($B$7*$B$5)*EXP(-0.5*((A200/$B$3-$B$8)/$B$9)^2)
)
</f>
        <v/>
      </c>
    </row>
    <row r="201" ht="15.75" customHeight="1" s="5">
      <c r="A201" s="4">
        <f>$B$3*190/200</f>
        <v/>
      </c>
      <c r="B201" s="4">
        <f>SQRT(MAX((($B$5^2+$B$3^2)/(2*$B$5))^2-($B$3-A201)^2,0))-((($B$5^2+$B$3^2)/(2*$B$5))-$B$5)</f>
        <v/>
      </c>
      <c r="C201" s="4">
        <f>MIN($B$5,
$B$5*(1-COS(PI()*A201/(2*$B$3))) +
($B$7*$B$5)*EXP(-0.5*((A201/$B$3-$B$8)/$B$9)^2)
)
</f>
        <v/>
      </c>
    </row>
    <row r="202" ht="15.75" customHeight="1" s="5">
      <c r="A202" s="4">
        <f>$B$3*191/200</f>
        <v/>
      </c>
      <c r="B202" s="4">
        <f>SQRT(MAX((($B$5^2+$B$3^2)/(2*$B$5))^2-($B$3-A202)^2,0))-((($B$5^2+$B$3^2)/(2*$B$5))-$B$5)</f>
        <v/>
      </c>
      <c r="C202" s="4">
        <f>MIN($B$5,
$B$5*(1-COS(PI()*A202/(2*$B$3))) +
($B$7*$B$5)*EXP(-0.5*((A202/$B$3-$B$8)/$B$9)^2)
)
</f>
        <v/>
      </c>
    </row>
    <row r="203" ht="15.75" customHeight="1" s="5">
      <c r="A203" s="4">
        <f>$B$3*192/200</f>
        <v/>
      </c>
      <c r="B203" s="4">
        <f>SQRT(MAX((($B$5^2+$B$3^2)/(2*$B$5))^2-($B$3-A203)^2,0))-((($B$5^2+$B$3^2)/(2*$B$5))-$B$5)</f>
        <v/>
      </c>
      <c r="C203" s="4">
        <f>MIN($B$5,
$B$5*(1-COS(PI()*A203/(2*$B$3))) +
($B$7*$B$5)*EXP(-0.5*((A203/$B$3-$B$8)/$B$9)^2)
)
</f>
        <v/>
      </c>
    </row>
    <row r="204" ht="15.75" customHeight="1" s="5">
      <c r="A204" s="4">
        <f>$B$3*193/200</f>
        <v/>
      </c>
      <c r="B204" s="4">
        <f>SQRT(MAX((($B$5^2+$B$3^2)/(2*$B$5))^2-($B$3-A204)^2,0))-((($B$5^2+$B$3^2)/(2*$B$5))-$B$5)</f>
        <v/>
      </c>
      <c r="C204" s="4">
        <f>MIN($B$5,
$B$5*(1-COS(PI()*A204/(2*$B$3))) +
($B$7*$B$5)*EXP(-0.5*((A204/$B$3-$B$8)/$B$9)^2)
)
</f>
        <v/>
      </c>
    </row>
    <row r="205" ht="15.75" customHeight="1" s="5">
      <c r="A205" s="4">
        <f>$B$3*194/200</f>
        <v/>
      </c>
      <c r="B205" s="4">
        <f>SQRT(MAX((($B$5^2+$B$3^2)/(2*$B$5))^2-($B$3-A205)^2,0))-((($B$5^2+$B$3^2)/(2*$B$5))-$B$5)</f>
        <v/>
      </c>
      <c r="C205" s="4">
        <f>MIN($B$5,
$B$5*(1-COS(PI()*A205/(2*$B$3))) +
($B$7*$B$5)*EXP(-0.5*((A205/$B$3-$B$8)/$B$9)^2)
)
</f>
        <v/>
      </c>
    </row>
    <row r="206" ht="15.75" customHeight="1" s="5">
      <c r="A206" s="4">
        <f>$B$3*195/200</f>
        <v/>
      </c>
      <c r="B206" s="4">
        <f>SQRT(MAX((($B$5^2+$B$3^2)/(2*$B$5))^2-($B$3-A206)^2,0))-((($B$5^2+$B$3^2)/(2*$B$5))-$B$5)</f>
        <v/>
      </c>
      <c r="C206" s="4">
        <f>MIN($B$5,
$B$5*(1-COS(PI()*A206/(2*$B$3))) +
($B$7*$B$5)*EXP(-0.5*((A206/$B$3-$B$8)/$B$9)^2)
)
</f>
        <v/>
      </c>
    </row>
    <row r="207" ht="15.75" customHeight="1" s="5">
      <c r="A207" s="4">
        <f>$B$3*196/200</f>
        <v/>
      </c>
      <c r="B207" s="4">
        <f>SQRT(MAX((($B$5^2+$B$3^2)/(2*$B$5))^2-($B$3-A207)^2,0))-((($B$5^2+$B$3^2)/(2*$B$5))-$B$5)</f>
        <v/>
      </c>
      <c r="C207" s="4">
        <f>MIN($B$5,
$B$5*(1-COS(PI()*A207/(2*$B$3))) +
($B$7*$B$5)*EXP(-0.5*((A207/$B$3-$B$8)/$B$9)^2)
)
</f>
        <v/>
      </c>
    </row>
    <row r="208" ht="15.75" customHeight="1" s="5">
      <c r="A208" s="4">
        <f>$B$3*197/200</f>
        <v/>
      </c>
      <c r="B208" s="4">
        <f>SQRT(MAX((($B$5^2+$B$3^2)/(2*$B$5))^2-($B$3-A208)^2,0))-((($B$5^2+$B$3^2)/(2*$B$5))-$B$5)</f>
        <v/>
      </c>
      <c r="C208" s="4">
        <f>MIN($B$5,
$B$5*(1-COS(PI()*A208/(2*$B$3))) +
($B$7*$B$5)*EXP(-0.5*((A208/$B$3-$B$8)/$B$9)^2)
)
</f>
        <v/>
      </c>
    </row>
    <row r="209" ht="15.75" customHeight="1" s="5">
      <c r="A209" s="4">
        <f>$B$3*198/200</f>
        <v/>
      </c>
      <c r="B209" s="4">
        <f>SQRT(MAX((($B$5^2+$B$3^2)/(2*$B$5))^2-($B$3-A209)^2,0))-((($B$5^2+$B$3^2)/(2*$B$5))-$B$5)</f>
        <v/>
      </c>
      <c r="C209" s="4">
        <f>MIN($B$5,
$B$5*(1-COS(PI()*A209/(2*$B$3))) +
($B$7*$B$5)*EXP(-0.5*((A209/$B$3-$B$8)/$B$9)^2)
)
</f>
        <v/>
      </c>
    </row>
    <row r="210" ht="15.75" customHeight="1" s="5">
      <c r="A210" s="4">
        <f>$B$3*199/200</f>
        <v/>
      </c>
      <c r="B210" s="4">
        <f>SQRT(MAX((($B$5^2+$B$3^2)/(2*$B$5))^2-($B$3-A210)^2,0))-((($B$5^2+$B$3^2)/(2*$B$5))-$B$5)</f>
        <v/>
      </c>
      <c r="C210" s="4">
        <f>MIN($B$5,
$B$5*(1-COS(PI()*A210/(2*$B$3))) +
($B$7*$B$5)*EXP(-0.5*((A210/$B$3-$B$8)/$B$9)^2)
)
</f>
        <v/>
      </c>
    </row>
    <row r="211" ht="15.75" customHeight="1" s="5">
      <c r="A211" s="4">
        <f>$B$3*200/200</f>
        <v/>
      </c>
      <c r="B211" s="4">
        <f>SQRT(MAX((($B$5^2+$B$3^2)/(2*$B$5))^2-($B$3-A211)^2,0))-((($B$5^2+$B$3^2)/(2*$B$5))-$B$5)</f>
        <v/>
      </c>
      <c r="C211" s="4">
        <f>MIN($B$5,
$B$5*(1-COS(PI()*A211/(2*$B$3))) +
($B$7*$B$5)*EXP(-0.5*((A211/$B$3-$B$8)/$B$9)^2)
)
</f>
        <v/>
      </c>
    </row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4.43" defaultRowHeight="15" customHeight="1"/>
  <cols>
    <col width="110" customWidth="1" style="5" min="1" max="1"/>
    <col width="8.710000000000001" customWidth="1" style="5" min="2" max="26"/>
  </cols>
  <sheetData>
    <row r="1">
      <c r="A1" s="4" t="inlineStr">
        <is>
          <t>Google Sheets friendly version. Steps:</t>
        </is>
      </c>
    </row>
    <row r="2">
      <c r="A2" s="4" t="inlineStr">
        <is>
          <t>1) In 'extras', set L_m and D_m. R_m = D_m/2 is auto.</t>
        </is>
      </c>
    </row>
    <row r="3">
      <c r="A3" s="4" t="inlineStr">
        <is>
          <t>2) Copy columns 'r_ogive' and 'r_fish' into 'blend'!B and !C (Paste values).</t>
        </is>
      </c>
    </row>
    <row r="4">
      <c r="A4" s="4" t="inlineStr">
        <is>
          <t>3) In 'blend', L_m (D2) and alpha_max (E2) already default to 0.5 and 0.65. Adjust if needed.</t>
        </is>
      </c>
    </row>
    <row r="5">
      <c r="A5" s="4" t="inlineStr">
        <is>
          <t>4) Column F gives r_blend(x). Export columns A &amp; F as CSV to import into Inventor.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2025-10-04T07:30:58Z</dcterms:created>
  <dcterms:modified xmlns:dcterms="http://purl.org/dc/terms/" xmlns:xsi="http://www.w3.org/2001/XMLSchema-instance" xsi:type="dcterms:W3CDTF">2025-12-20T12:56:50Z</dcterms:modified>
</cp:coreProperties>
</file>